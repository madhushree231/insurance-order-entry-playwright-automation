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Summary" sheetId="1" state="visible" r:id="rId3"/>
    <sheet name="Test Cases" sheetId="2" state="visible" r:id="rId4"/>
    <sheet name="Seeded Defect Checklist" sheetId="3" state="visible" r:id="rId5"/>
  </sheets>
  <definedNames>
    <definedName function="false" hidden="true" localSheetId="2" name="_xlnm._FilterDatabase" vbProcedure="false">'Seeded Defect Checklist'!$A$1:$F$57</definedName>
    <definedName function="false" hidden="true" localSheetId="1" name="_xlnm._FilterDatabase" vbProcedure="false">'Test Cases'!$A$1:$M$67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<sst xmlns="http://schemas.openxmlformats.org/spreadsheetml/2006/main" count="1233" uniqueCount="577">
  <si>
    <t xml:space="preserve">Test Coverage Summary</t>
  </si>
  <si>
    <t xml:space="preserve">Module</t>
  </si>
  <si>
    <t xml:space="preserve">Spec Minimum</t>
  </si>
  <si>
    <t xml:space="preserve">Designed</t>
  </si>
  <si>
    <t xml:space="preserve">Automated</t>
  </si>
  <si>
    <t xml:space="preserve">In Progress</t>
  </si>
  <si>
    <t xml:space="preserve">Authentication</t>
  </si>
  <si>
    <t xml:space="preserve">Dashboard</t>
  </si>
  <si>
    <t xml:space="preserve">Client Information</t>
  </si>
  <si>
    <t xml:space="preserve">Address and Contact</t>
  </si>
  <si>
    <t xml:space="preserve">KYC, Financial and Compliance</t>
  </si>
  <si>
    <t xml:space="preserve">Product Configuration</t>
  </si>
  <si>
    <t xml:space="preserve">Riders</t>
  </si>
  <si>
    <t xml:space="preserve">Beneficiaries</t>
  </si>
  <si>
    <t xml:space="preserve">Documents and Validation</t>
  </si>
  <si>
    <t xml:space="preserve">Submission and Status</t>
  </si>
  <si>
    <t xml:space="preserve">API (HTTP layer)</t>
  </si>
  <si>
    <t xml:space="preserve">Total</t>
  </si>
  <si>
    <t xml:space="preserve">Spec minimum is from problem statement section 5.5. Defect codes are from the app's seeded defect catalog.</t>
  </si>
  <si>
    <t xml:space="preserve">The app has no /api routes, so API cases test the same risks through its HTTP routes.</t>
  </si>
  <si>
    <t xml:space="preserve">Test Case ID</t>
  </si>
  <si>
    <t xml:space="preserve">Title</t>
  </si>
  <si>
    <t xml:space="preserve">Requirement / Defect Link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</si>
  <si>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</si>
  <si>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</si>
  <si>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</si>
  <si>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</si>
  <si>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Severity</t>
  </si>
  <si>
    <t xml:space="preserve">Priority</t>
  </si>
  <si>
    <t xml:space="preserve">Evidence</t>
  </si>
  <si>
    <t xml:space="preserve">Automation Status</t>
  </si>
  <si>
    <t xml:space="preserve">Spec File</t>
  </si>
  <si>
    <t xml:space="preserve">TC-AUTH-01</t>
  </si>
  <si>
    <t xml:space="preserve">Valid agent signs in</t>
  </si>
  <si>
    <t xml:space="preserve">AUTH-V01</t>
  </si>
  <si>
    <t xml:space="preserve">No session</t>
  </si>
  <si>
    <t xml:space="preserve">1. Open /login
2. Enter email and password
3. Click Sign in</t>
  </si>
  <si>
    <t xml:space="preserve">agent1.valid</t>
  </si>
  <si>
    <t xml:space="preserve">Dashboard opens with agent name</t>
  </si>
  <si>
    <t xml:space="preserve">Critical</t>
  </si>
  <si>
    <t xml:space="preserve">P1</t>
  </si>
  <si>
    <t xml:space="preserve">Screenshot</t>
  </si>
  <si>
    <t xml:space="preserve">tests/auth/login.spec.js</t>
  </si>
  <si>
    <t xml:space="preserve">TC-AUTH-02</t>
  </si>
  <si>
    <t xml:space="preserve">Wrong password shows an error</t>
  </si>
  <si>
    <t xml:space="preserve">AUTH-V02</t>
  </si>
  <si>
    <t xml:space="preserve">1. Open /login
2. Enter valid email, wrong password
3. Click Sign in</t>
  </si>
  <si>
    <t xml:space="preserve">Password WrongPass@1</t>
  </si>
  <si>
    <t xml:space="preserve">Stays on login with an error</t>
  </si>
  <si>
    <t xml:space="preserve">High</t>
  </si>
  <si>
    <t xml:space="preserve">TC-AUTH-03</t>
  </si>
  <si>
    <t xml:space="preserve">Dashboard blocked without login and after logout</t>
  </si>
  <si>
    <t xml:space="preserve">AUTH-V04, AUTH-V05</t>
  </si>
  <si>
    <t xml:space="preserve">Fresh browser</t>
  </si>
  <si>
    <t xml:space="preserve">1. Open /dashboard
2. Sign in, log out, open /dashboard again</t>
  </si>
  <si>
    <t xml:space="preserve">Both times redirected to /login</t>
  </si>
  <si>
    <t xml:space="preserve">TC-AUTH-04</t>
  </si>
  <si>
    <t xml:space="preserve">Locked agent sees a locked message</t>
  </si>
  <si>
    <t xml:space="preserve">AUTH-V06, DEF-AUTH-001</t>
  </si>
  <si>
    <t xml:space="preserve">1. Sign in as locked agent</t>
  </si>
  <si>
    <t xml:space="preserve">agent.locked</t>
  </si>
  <si>
    <t xml:space="preserve">Sign-in refused with a locked account message</t>
  </si>
  <si>
    <t xml:space="preserve">TC-AUTH-05</t>
  </si>
  <si>
    <t xml:space="preserve">Weak password rejected at registration</t>
  </si>
  <si>
    <t xml:space="preserve">AUTH-V08, DEF-AUTH-002</t>
  </si>
  <si>
    <t xml:space="preserve">1. Open /register
2. Fill valid details with a weak password
3. Submit</t>
  </si>
  <si>
    <t xml:space="preserve">Password abc123, unique email</t>
  </si>
  <si>
    <t xml:space="preserve">Registration refused with a password policy error</t>
  </si>
  <si>
    <t xml:space="preserve">tests/auth/password.spec.js</t>
  </si>
  <si>
    <t xml:space="preserve">TC-AUTH-06</t>
  </si>
  <si>
    <t xml:space="preserve">New password cannot match current password</t>
  </si>
  <si>
    <t xml:space="preserve">DEF-AUTH-006</t>
  </si>
  <si>
    <t xml:space="preserve">Signed in as main agent (agent1.valid).</t>
  </si>
  <si>
    <t xml:space="preserve">1. Open /change-password
2. Use current password as new password
3. Submit</t>
  </si>
  <si>
    <t xml:space="preserve">Current password</t>
  </si>
  <si>
    <t xml:space="preserve">Error shown, password unchanged</t>
  </si>
  <si>
    <t xml:space="preserve">Medium</t>
  </si>
  <si>
    <t xml:space="preserve">P2</t>
  </si>
  <si>
    <t xml:space="preserve">TC-AUTH-07</t>
  </si>
  <si>
    <t xml:space="preserve">MFA agent must enter OTP</t>
  </si>
  <si>
    <t xml:space="preserve">Spec 3.1 MFA</t>
  </si>
  <si>
    <t xml:space="preserve">No session. Runs on lab VM (OTP read from Laravel log)</t>
  </si>
  <si>
    <t xml:space="preserve">1. Sign in as MFA agent
2. Enter wrong OTP
3. Enter correct OTP</t>
  </si>
  <si>
    <t xml:space="preserve">agent.mfa, OTP 000000</t>
  </si>
  <si>
    <t xml:space="preserve">OTP page shown, wrong OTP refused, correct OTP opens dashboard</t>
  </si>
  <si>
    <t xml:space="preserve">TC-DASH-01</t>
  </si>
  <si>
    <t xml:space="preserve">Dashboard shows status tiles</t>
  </si>
  <si>
    <t xml:space="preserve">DASH-V01</t>
  </si>
  <si>
    <t xml:space="preserve">1. Open /dashboard</t>
  </si>
  <si>
    <t xml:space="preserve">None</t>
  </si>
  <si>
    <t xml:space="preserve">All status tiles and Start New Application visible</t>
  </si>
  <si>
    <t xml:space="preserve">tests/dashboard/dashboard.spec.js</t>
  </si>
  <si>
    <t xml:space="preserve">TC-DASH-02</t>
  </si>
  <si>
    <t xml:space="preserve">New draft appears on dashboard</t>
  </si>
  <si>
    <t xml:space="preserve">1. Note Draft count
2. Create draft
3. Return to dashboard</t>
  </si>
  <si>
    <t xml:space="preserve">Draft count goes up, new row shows DRAFT</t>
  </si>
  <si>
    <t xml:space="preserve">TC-DASH-03</t>
  </si>
  <si>
    <t xml:space="preserve">Agent cannot open another agent's application</t>
  </si>
  <si>
    <t xml:space="preserve">DASH-V02, DEF-API-001</t>
  </si>
  <si>
    <t xml:space="preserve">1. Open agent.draft's application WL202605170002 by id</t>
  </si>
  <si>
    <t xml:space="preserve">Seeded application</t>
  </si>
  <si>
    <t xml:space="preserve">Not listed and access refused</t>
  </si>
  <si>
    <t xml:space="preserve">TC-DASH-04</t>
  </si>
  <si>
    <t xml:space="preserve">New agent sees empty state</t>
  </si>
  <si>
    <t xml:space="preserve">DASH-V03</t>
  </si>
  <si>
    <t xml:space="preserve">Signed in as agent.new</t>
  </si>
  <si>
    <t xml:space="preserve">agent.new</t>
  </si>
  <si>
    <t xml:space="preserve">All tiles 0, empty message shown</t>
  </si>
  <si>
    <t xml:space="preserve">Low</t>
  </si>
  <si>
    <t xml:space="preserve">P3</t>
  </si>
  <si>
    <t xml:space="preserve">TC-CLI-01</t>
  </si>
  <si>
    <t xml:space="preserve">Valid client details save</t>
  </si>
  <si>
    <t xml:space="preserve">CLI-V01</t>
  </si>
  <si>
    <t xml:space="preserve">Signed in as main agent. New draft created.</t>
  </si>
  <si>
    <t xml:space="preserve">1. Fill client step
2. Save and Continue</t>
  </si>
  <si>
    <t xml:space="preserve">Valid client data</t>
  </si>
  <si>
    <t xml:space="preserve">Moves to Address step</t>
  </si>
  <si>
    <t xml:space="preserve">tests/client-information/client.spec.js</t>
  </si>
  <si>
    <t xml:space="preserve">TC-CLI-02</t>
  </si>
  <si>
    <t xml:space="preserve">Mandatory client fields enforced</t>
  </si>
  <si>
    <t xml:space="preserve">CLI-V02</t>
  </si>
  <si>
    <t xml:space="preserve">1. Leave name and DOB empty
2. Save</t>
  </si>
  <si>
    <t xml:space="preserve">Empty fields</t>
  </si>
  <si>
    <t xml:space="preserve">Stays on step with required errors</t>
  </si>
  <si>
    <t xml:space="preserve">TC-CLI-03</t>
  </si>
  <si>
    <t xml:space="preserve">Client under 18 rejected</t>
  </si>
  <si>
    <t xml:space="preserve">CLI-V03</t>
  </si>
  <si>
    <t xml:space="preserve">1. Enter DOB under 18
2. Save</t>
  </si>
  <si>
    <t xml:space="preserve">Today minus 17 years</t>
  </si>
  <si>
    <t xml:space="preserve">Eligibility error</t>
  </si>
  <si>
    <t xml:space="preserve">TC-CLI-04</t>
  </si>
  <si>
    <t xml:space="preserve">Client exactly 18 accepted</t>
  </si>
  <si>
    <t xml:space="preserve">1. Enter DOB exactly 18 years ago
2. Save</t>
  </si>
  <si>
    <t xml:space="preserve">Today minus 18 years</t>
  </si>
  <si>
    <t xml:space="preserve">Saved, moves on</t>
  </si>
  <si>
    <t xml:space="preserve">TC-CLI-05</t>
  </si>
  <si>
    <t xml:space="preserve">Client over 65 rejected</t>
  </si>
  <si>
    <t xml:space="preserve">CLI-V04</t>
  </si>
  <si>
    <t xml:space="preserve">1. Enter DOB over 65
2. Save</t>
  </si>
  <si>
    <t xml:space="preserve">Today minus 66 years</t>
  </si>
  <si>
    <t xml:space="preserve">TC-CLI-06</t>
  </si>
  <si>
    <t xml:space="preserve">Future DOB rejected</t>
  </si>
  <si>
    <t xml:space="preserve">CLI-V05, DEF-CLI-001</t>
  </si>
  <si>
    <t xml:space="preserve">1. Enter future DOB
2. Save</t>
  </si>
  <si>
    <t xml:space="preserve">Tomorrow</t>
  </si>
  <si>
    <t xml:space="preserve">Validation error, not saved</t>
  </si>
  <si>
    <t xml:space="preserve">TC-CLI-07</t>
  </si>
  <si>
    <t xml:space="preserve">Age correct when birthday is today</t>
  </si>
  <si>
    <t xml:space="preserve">DEF-CLI-003</t>
  </si>
  <si>
    <t xml:space="preserve">1. Save DOB with birthday today
2. Check age on review</t>
  </si>
  <si>
    <t xml:space="preserve">Today minus 30 years</t>
  </si>
  <si>
    <t xml:space="preserve">Age shows 30</t>
  </si>
  <si>
    <t xml:space="preserve">TC-CLI-08</t>
  </si>
  <si>
    <t xml:space="preserve">Name with digits or symbols rejected</t>
  </si>
  <si>
    <t xml:space="preserve">DEF-CLI-004</t>
  </si>
  <si>
    <t xml:space="preserve">1. Enter first name with digits
2. Save</t>
  </si>
  <si>
    <t xml:space="preserve">J0hn$</t>
  </si>
  <si>
    <t xml:space="preserve">Name format error</t>
  </si>
  <si>
    <t xml:space="preserve">TC-ADDR-01</t>
  </si>
  <si>
    <t xml:space="preserve">Same-as-residential copies all fields</t>
  </si>
  <si>
    <t xml:space="preserve">CLI-V06, DEF-ADDR-001</t>
  </si>
  <si>
    <t xml:space="preserve">1. Fill residential address
2. Tick Same as residential</t>
  </si>
  <si>
    <t xml:space="preserve">Address with ZIP 30301</t>
  </si>
  <si>
    <t xml:space="preserve">All mailing fields match, including ZIP</t>
  </si>
  <si>
    <t xml:space="preserve">tests/client-information/address-contact.spec.js</t>
  </si>
  <si>
    <t xml:space="preserve">TC-ADDR-02</t>
  </si>
  <si>
    <t xml:space="preserve">ZIP with letters rejected</t>
  </si>
  <si>
    <t xml:space="preserve">DEF-ADDR-004</t>
  </si>
  <si>
    <t xml:space="preserve">1. Enter ZIP ABCDE
2. Save</t>
  </si>
  <si>
    <t xml:space="preserve">ABCDE</t>
  </si>
  <si>
    <t xml:space="preserve">ZIP error</t>
  </si>
  <si>
    <t xml:space="preserve">TC-ADDR-03</t>
  </si>
  <si>
    <t xml:space="preserve">State longer than 2 characters rejected</t>
  </si>
  <si>
    <t xml:space="preserve">DEF-ADDR-003</t>
  </si>
  <si>
    <t xml:space="preserve">1. Enter state Californiaaaaa
2. Save</t>
  </si>
  <si>
    <t xml:space="preserve">Californiaaaaa</t>
  </si>
  <si>
    <t xml:space="preserve">State error</t>
  </si>
  <si>
    <t xml:space="preserve">TC-ADDR-04</t>
  </si>
  <si>
    <t xml:space="preserve">Invalid email rejected</t>
  </si>
  <si>
    <t xml:space="preserve">CLI-V07, DEF-CONTACT-001</t>
  </si>
  <si>
    <t xml:space="preserve">1. Enter bad email
2. Save</t>
  </si>
  <si>
    <t xml:space="preserve">agent@</t>
  </si>
  <si>
    <t xml:space="preserve">Email error</t>
  </si>
  <si>
    <t xml:space="preserve">TC-ADDR-05</t>
  </si>
  <si>
    <t xml:space="preserve">Short phone number rejected</t>
  </si>
  <si>
    <t xml:space="preserve">CLI-V07, DEF-CONTACT-002</t>
  </si>
  <si>
    <t xml:space="preserve">1. Enter short phone
2. Save</t>
  </si>
  <si>
    <t xml:space="preserve">12345</t>
  </si>
  <si>
    <t xml:space="preserve">Phone error</t>
  </si>
  <si>
    <t xml:space="preserve">TC-KYC-01</t>
  </si>
  <si>
    <t xml:space="preserve">Valid KYC details save</t>
  </si>
  <si>
    <t xml:space="preserve">KYC module</t>
  </si>
  <si>
    <t xml:space="preserve">1. Fill KYC step
2. Tick declaration
3. Save</t>
  </si>
  <si>
    <t xml:space="preserve">SSN 123456789, income 120000</t>
  </si>
  <si>
    <t xml:space="preserve">Moves to Product step</t>
  </si>
  <si>
    <t xml:space="preserve">tests/client-information/kyc-financial.spec.js</t>
  </si>
  <si>
    <t xml:space="preserve">TC-KYC-02</t>
  </si>
  <si>
    <t xml:space="preserve">SSN masked after entry</t>
  </si>
  <si>
    <t xml:space="preserve">CLI-V08, DEF-CLI-002</t>
  </si>
  <si>
    <t xml:space="preserve">1. Save SSN
2. Reload KYC and open review</t>
  </si>
  <si>
    <t xml:space="preserve">123456789</t>
  </si>
  <si>
    <t xml:space="preserve">Only last 4 digits visible</t>
  </si>
  <si>
    <t xml:space="preserve">TC-KYC-03</t>
  </si>
  <si>
    <t xml:space="preserve">Short SSN rejected</t>
  </si>
  <si>
    <t xml:space="preserve">KYC ID validation</t>
  </si>
  <si>
    <t xml:space="preserve">1. Enter short SSN
2. Save</t>
  </si>
  <si>
    <t xml:space="preserve">ID number error</t>
  </si>
  <si>
    <t xml:space="preserve">TC-KYC-04</t>
  </si>
  <si>
    <t xml:space="preserve">PEP Yes requires details</t>
  </si>
  <si>
    <t xml:space="preserve">CLI-V10</t>
  </si>
  <si>
    <t xml:space="preserve">1. Select PEP Yes, leave details empty
2. Save</t>
  </si>
  <si>
    <t xml:space="preserve">PEP Yes</t>
  </si>
  <si>
    <t xml:space="preserve">Details required error</t>
  </si>
  <si>
    <t xml:space="preserve">TC-KYC-05</t>
  </si>
  <si>
    <t xml:space="preserve">Declaration required</t>
  </si>
  <si>
    <t xml:space="preserve">KYC compliance</t>
  </si>
  <si>
    <t xml:space="preserve">1. Fill KYC, leave declaration unticked
2. Save</t>
  </si>
  <si>
    <t xml:space="preserve">Unticked</t>
  </si>
  <si>
    <t xml:space="preserve">Declaration error</t>
  </si>
  <si>
    <t xml:space="preserve">TC-KYC-06</t>
  </si>
  <si>
    <t xml:space="preserve">Unaffordable premium is blocked</t>
  </si>
  <si>
    <t xml:space="preserve">DEF-FIN-001</t>
  </si>
  <si>
    <t xml:space="preserve">1. Save income 20000
2. Configure Elite Legacy 5,000,000 Annual
3. Run validation</t>
  </si>
  <si>
    <t xml:space="preserve">Premium 30,500</t>
  </si>
  <si>
    <t xml:space="preserve">Affordability error</t>
  </si>
  <si>
    <t xml:space="preserve">TC-PROD-01</t>
  </si>
  <si>
    <t xml:space="preserve">Catalog lists Whole Life products</t>
  </si>
  <si>
    <t xml:space="preserve">PROD-V01</t>
  </si>
  <si>
    <t xml:space="preserve">1. Open /products</t>
  </si>
  <si>
    <t xml:space="preserve">4 products listed</t>
  </si>
  <si>
    <t xml:space="preserve">tests/product-selection/product.spec.js</t>
  </si>
  <si>
    <t xml:space="preserve">TC-PROD-02</t>
  </si>
  <si>
    <t xml:space="preserve">Sum assured below minimum rejected</t>
  </si>
  <si>
    <t xml:space="preserve">PROD-V03, DEF-PROD-002</t>
  </si>
  <si>
    <t xml:space="preserve">1. Elite Legacy, 499,999
2. Save</t>
  </si>
  <si>
    <t xml:space="preserve">499999</t>
  </si>
  <si>
    <t xml:space="preserve">Range error</t>
  </si>
  <si>
    <t xml:space="preserve">TC-PROD-03</t>
  </si>
  <si>
    <t xml:space="preserve">Sum assured above maximum rejected</t>
  </si>
  <si>
    <t xml:space="preserve">PROD-V04, DEF-PROD-003</t>
  </si>
  <si>
    <t xml:space="preserve">1. Elite Legacy, 5,000,001
2. Save</t>
  </si>
  <si>
    <t xml:space="preserve">5000001</t>
  </si>
  <si>
    <t xml:space="preserve">TC-PROD-04</t>
  </si>
  <si>
    <t xml:space="preserve">Premium matches published rate</t>
  </si>
  <si>
    <t xml:space="preserve">Premium calculation</t>
  </si>
  <si>
    <t xml:space="preserve">1. Elite Legacy, 1,000,000, Monthly</t>
  </si>
  <si>
    <t xml:space="preserve">Rate 6.10</t>
  </si>
  <si>
    <t xml:space="preserve">Premium 508.33</t>
  </si>
  <si>
    <t xml:space="preserve">TC-PROD-05</t>
  </si>
  <si>
    <t xml:space="preserve">Premium recalculates after frequency change</t>
  </si>
  <si>
    <t xml:space="preserve">PROD-V05, DEF-PROD-001, DEF-PROD-004</t>
  </si>
  <si>
    <t xml:space="preserve">1. Save Monthly
2. Change to Annual and save
3. Open review</t>
  </si>
  <si>
    <t xml:space="preserve">Monthly then Annual</t>
  </si>
  <si>
    <t xml:space="preserve">Premium 6,100.00 and frequency Annual on review</t>
  </si>
  <si>
    <t xml:space="preserve">TC-PROD-06</t>
  </si>
  <si>
    <t xml:space="preserve">Review premium matches product step</t>
  </si>
  <si>
    <t xml:space="preserve">PROD-V06</t>
  </si>
  <si>
    <t xml:space="preserve">1. Save product
2. Open review</t>
  </si>
  <si>
    <t xml:space="preserve">Elite Legacy 1,000,000</t>
  </si>
  <si>
    <t xml:space="preserve">Same premium on both pages</t>
  </si>
  <si>
    <t xml:space="preserve">TC-RID-01</t>
  </si>
  <si>
    <t xml:space="preserve">Eligible rider can be added</t>
  </si>
  <si>
    <t xml:space="preserve">RIDER-V01</t>
  </si>
  <si>
    <t xml:space="preserve">1. Tick ADB rider
2. Save</t>
  </si>
  <si>
    <t xml:space="preserve">ADB</t>
  </si>
  <si>
    <t xml:space="preserve">Rider in premium summary</t>
  </si>
  <si>
    <t xml:space="preserve">tests/riders/riders.spec.js</t>
  </si>
  <si>
    <t xml:space="preserve">TC-RID-02</t>
  </si>
  <si>
    <t xml:space="preserve">Rider premium added to total</t>
  </si>
  <si>
    <t xml:space="preserve">RIDER-V07</t>
  </si>
  <si>
    <t xml:space="preserve">1. Tick two riders</t>
  </si>
  <si>
    <t xml:space="preserve">Two riders</t>
  </si>
  <si>
    <t xml:space="preserve">Total equals sum of rider premiums</t>
  </si>
  <si>
    <t xml:space="preserve">TC-RID-03</t>
  </si>
  <si>
    <t xml:space="preserve">Rider coverage above base face value rejected</t>
  </si>
  <si>
    <t xml:space="preserve">RIDER-V02, DEF-RIDER-002</t>
  </si>
  <si>
    <t xml:space="preserve">Signed in as main agent. New draft created. Product 500,000.</t>
  </si>
  <si>
    <t xml:space="preserve">1. Enter rider coverage 600,000
2. Save</t>
  </si>
  <si>
    <t xml:space="preserve">600000</t>
  </si>
  <si>
    <t xml:space="preserve">Coverage error</t>
  </si>
  <si>
    <t xml:space="preserve">TC-RID-04</t>
  </si>
  <si>
    <t xml:space="preserve">Both waiver riders cannot be selected</t>
  </si>
  <si>
    <t xml:space="preserve">RIDER-V05, DEF-RIDER-001</t>
  </si>
  <si>
    <t xml:space="preserve">1. Tick both waiver riders
2. Save</t>
  </si>
  <si>
    <t xml:space="preserve">Two waiver riders</t>
  </si>
  <si>
    <t xml:space="preserve">Second blocked or save refused</t>
  </si>
  <si>
    <t xml:space="preserve">TC-RID-05</t>
  </si>
  <si>
    <t xml:space="preserve">Maximum rider count enforced</t>
  </si>
  <si>
    <t xml:space="preserve">RIDER-V04, DEF-RIDER-003</t>
  </si>
  <si>
    <t xml:space="preserve">1. Tick all riders
2. Save</t>
  </si>
  <si>
    <t xml:space="preserve">All riders</t>
  </si>
  <si>
    <t xml:space="preserve">Blocking message</t>
  </si>
  <si>
    <t xml:space="preserve">TC-BEN-01</t>
  </si>
  <si>
    <t xml:space="preserve">Valid primary beneficiary added</t>
  </si>
  <si>
    <t xml:space="preserve">BEN-V01</t>
  </si>
  <si>
    <t xml:space="preserve">1. Add primary at 100%</t>
  </si>
  <si>
    <t xml:space="preserve">Spouse, 100%</t>
  </si>
  <si>
    <t xml:space="preserve">Listed, total 100%</t>
  </si>
  <si>
    <t xml:space="preserve">tests/beneficiaries/beneficiaries.spec.js</t>
  </si>
  <si>
    <t xml:space="preserve">TC-BEN-02</t>
  </si>
  <si>
    <t xml:space="preserve">Primary below 100% blocks progression</t>
  </si>
  <si>
    <t xml:space="preserve">BEN-V02, DEF-BEN-001</t>
  </si>
  <si>
    <t xml:space="preserve">1. Add primary at 60%
2. Continue</t>
  </si>
  <si>
    <t xml:space="preserve">60%</t>
  </si>
  <si>
    <t xml:space="preserve">Error, stays on step</t>
  </si>
  <si>
    <t xml:space="preserve">TC-BEN-03</t>
  </si>
  <si>
    <t xml:space="preserve">Primary above 100% blocked</t>
  </si>
  <si>
    <t xml:space="preserve">BEN-V03, DEF-BEN-001</t>
  </si>
  <si>
    <t xml:space="preserve">1. Add 70% and 50% primaries</t>
  </si>
  <si>
    <t xml:space="preserve">70% + 50%</t>
  </si>
  <si>
    <t xml:space="preserve">Over-allocation error</t>
  </si>
  <si>
    <t xml:space="preserve">TC-BEN-04</t>
  </si>
  <si>
    <t xml:space="preserve">Minor beneficiary needs guardian</t>
  </si>
  <si>
    <t xml:space="preserve">BEN-V05, DEF-BEN-002</t>
  </si>
  <si>
    <t xml:space="preserve">1. Add beneficiary under 18, no guardian
2. Save</t>
  </si>
  <si>
    <t xml:space="preserve">Age 10</t>
  </si>
  <si>
    <t xml:space="preserve">Guardian required error</t>
  </si>
  <si>
    <t xml:space="preserve">TC-BEN-05</t>
  </si>
  <si>
    <t xml:space="preserve">Beneficiary type shows matching fields</t>
  </si>
  <si>
    <t xml:space="preserve">BEN-V06, BEN-V07</t>
  </si>
  <si>
    <t xml:space="preserve">1. Switch Individual, Trust, Organization</t>
  </si>
  <si>
    <t xml:space="preserve">Each type</t>
  </si>
  <si>
    <t xml:space="preserve">Only matching fields shown</t>
  </si>
  <si>
    <t xml:space="preserve">TC-BEN-06</t>
  </si>
  <si>
    <t xml:space="preserve">Trust needs trust and trustee names</t>
  </si>
  <si>
    <t xml:space="preserve">BEN-V06, DEF-BEN-003</t>
  </si>
  <si>
    <t xml:space="preserve">1. Add Trust with no names
2. Save</t>
  </si>
  <si>
    <t xml:space="preserve">Trust</t>
  </si>
  <si>
    <t xml:space="preserve">Name errors</t>
  </si>
  <si>
    <t xml:space="preserve">TC-BEN-07</t>
  </si>
  <si>
    <t xml:space="preserve">Duplicate beneficiary blocked</t>
  </si>
  <si>
    <t xml:space="preserve">BEN-V08</t>
  </si>
  <si>
    <t xml:space="preserve">1. Add same name, DOB, relationship twice</t>
  </si>
  <si>
    <t xml:space="preserve">Duplicate</t>
  </si>
  <si>
    <t xml:space="preserve">Duplicate error</t>
  </si>
  <si>
    <t xml:space="preserve">TC-DOC-01</t>
  </si>
  <si>
    <t xml:space="preserve">Valid PDF uploads</t>
  </si>
  <si>
    <t xml:space="preserve">DOC-V01</t>
  </si>
  <si>
    <t xml:space="preserve">1. Upload a small PDF as KYC ID</t>
  </si>
  <si>
    <t xml:space="preserve">sample.pdf</t>
  </si>
  <si>
    <t xml:space="preserve">Listed as uploaded</t>
  </si>
  <si>
    <t xml:space="preserve">tests/documents/documents.spec.js</t>
  </si>
  <si>
    <t xml:space="preserve">TC-DOC-02</t>
  </si>
  <si>
    <t xml:space="preserve">Unsupported file type rejected</t>
  </si>
  <si>
    <t xml:space="preserve">DOC-V02, DEF-DOC-002</t>
  </si>
  <si>
    <t xml:space="preserve">1. Upload a .exe file</t>
  </si>
  <si>
    <t xml:space="preserve">invalid.exe</t>
  </si>
  <si>
    <t xml:space="preserve">File type error</t>
  </si>
  <si>
    <t xml:space="preserve">TC-DOC-03</t>
  </si>
  <si>
    <t xml:space="preserve">Missing KYC blocks submission</t>
  </si>
  <si>
    <t xml:space="preserve">DOC-V04, DEF-DOC-001</t>
  </si>
  <si>
    <t xml:space="preserve">Signed in as main agent. New draft created. All steps done except documents.</t>
  </si>
  <si>
    <t xml:space="preserve">1. Run validation on review</t>
  </si>
  <si>
    <t xml:space="preserve">No documents</t>
  </si>
  <si>
    <t xml:space="preserve">Missing document error</t>
  </si>
  <si>
    <t xml:space="preserve">tests/workflow/review.spec.js</t>
  </si>
  <si>
    <t xml:space="preserve">TC-DOC-04</t>
  </si>
  <si>
    <t xml:space="preserve">Submit disabled while errors remain</t>
  </si>
  <si>
    <t xml:space="preserve">VAL-V03, DEF-WF-002</t>
  </si>
  <si>
    <t xml:space="preserve">1. Run validation on incomplete draft</t>
  </si>
  <si>
    <t xml:space="preserve">Incomplete draft</t>
  </si>
  <si>
    <t xml:space="preserve">Submit disabled</t>
  </si>
  <si>
    <t xml:space="preserve">TC-DOC-05</t>
  </si>
  <si>
    <t xml:space="preserve">Continue skips step validation</t>
  </si>
  <si>
    <t xml:space="preserve">Own finding</t>
  </si>
  <si>
    <t xml:space="preserve">1. Click Continue to Review with no documents</t>
  </si>
  <si>
    <t xml:space="preserve">Stays on documents step</t>
  </si>
  <si>
    <t xml:space="preserve">TC-WF-01</t>
  </si>
  <si>
    <t xml:space="preserve">Full application submits</t>
  </si>
  <si>
    <t xml:space="preserve">WF-V03</t>
  </si>
  <si>
    <t xml:space="preserve">1. Complete all steps
2. Validate
3. Submit</t>
  </si>
  <si>
    <t xml:space="preserve">Full test data</t>
  </si>
  <si>
    <t xml:space="preserve">Confirmation with WL reference</t>
  </si>
  <si>
    <t xml:space="preserve">Screenshot, trace</t>
  </si>
  <si>
    <t xml:space="preserve">tests/workflow/journey.spec.js</t>
  </si>
  <si>
    <t xml:space="preserve">TC-WF-02</t>
  </si>
  <si>
    <t xml:space="preserve">Draft resume keeps beneficiaries</t>
  </si>
  <si>
    <t xml:space="preserve">WF-V02, DEF-WF-001</t>
  </si>
  <si>
    <t xml:space="preserve">1. Add beneficiary
2. Log out and in
3. Resume draft</t>
  </si>
  <si>
    <t xml:space="preserve">One beneficiary</t>
  </si>
  <si>
    <t xml:space="preserve">Beneficiary still listed</t>
  </si>
  <si>
    <t xml:space="preserve">tests/workflow/submission.spec.js</t>
  </si>
  <si>
    <t xml:space="preserve">TC-WF-03</t>
  </si>
  <si>
    <t xml:space="preserve">Submitted application is read-only</t>
  </si>
  <si>
    <t xml:space="preserve">WF-V04, DEF-WF-005</t>
  </si>
  <si>
    <t xml:space="preserve">Signed in as agent.submitted</t>
  </si>
  <si>
    <t xml:space="preserve">1. Open WL202605170003 client step
2. Try to save</t>
  </si>
  <si>
    <t xml:space="preserve">Seeded submitted app</t>
  </si>
  <si>
    <t xml:space="preserve">Not editable or save refused</t>
  </si>
  <si>
    <t xml:space="preserve">TC-WF-04</t>
  </si>
  <si>
    <t xml:space="preserve">Dashboard shows Submitted after submit</t>
  </si>
  <si>
    <t xml:space="preserve">WF-V06, DEF-STATUS-001</t>
  </si>
  <si>
    <t xml:space="preserve">Application submitted by the test</t>
  </si>
  <si>
    <t xml:space="preserve">1. Open dashboard</t>
  </si>
  <si>
    <t xml:space="preserve">Status SUBMITTED</t>
  </si>
  <si>
    <t xml:space="preserve">TC-WF-05</t>
  </si>
  <si>
    <t xml:space="preserve">Status page matches dashboard</t>
  </si>
  <si>
    <t xml:space="preserve">WF-V07</t>
  </si>
  <si>
    <t xml:space="preserve">1. Open WL202605170003 status page
2. Compare with dashboard</t>
  </si>
  <si>
    <t xml:space="preserve">Same status on both</t>
  </si>
  <si>
    <t xml:space="preserve">TC-API-01</t>
  </si>
  <si>
    <t xml:space="preserve">Health check responds</t>
  </si>
  <si>
    <t xml:space="preserve">Readiness</t>
  </si>
  <si>
    <t xml:space="preserve">App running</t>
  </si>
  <si>
    <t xml:space="preserve">1. GET /up</t>
  </si>
  <si>
    <t xml:space="preserve">200</t>
  </si>
  <si>
    <t xml:space="preserve">Response log</t>
  </si>
  <si>
    <t xml:space="preserve">tests/api/http.spec.js</t>
  </si>
  <si>
    <t xml:space="preserve">TC-API-02</t>
  </si>
  <si>
    <t xml:space="preserve">Protected routes redirect without session</t>
  </si>
  <si>
    <t xml:space="preserve">API-V02</t>
  </si>
  <si>
    <t xml:space="preserve">No cookies</t>
  </si>
  <si>
    <t xml:space="preserve">1. GET /dashboard, /applications</t>
  </si>
  <si>
    <t xml:space="preserve">302 to /login</t>
  </si>
  <si>
    <t xml:space="preserve">TC-API-03</t>
  </si>
  <si>
    <t xml:space="preserve">Invalid login creates no session</t>
  </si>
  <si>
    <t xml:space="preserve">Auth</t>
  </si>
  <si>
    <t xml:space="preserve">1. POST /login wrong password
2. GET /dashboard</t>
  </si>
  <si>
    <t xml:space="preserve">Wrong password</t>
  </si>
  <si>
    <t xml:space="preserve">Still redirected to /login</t>
  </si>
  <si>
    <t xml:space="preserve">TC-API-04</t>
  </si>
  <si>
    <t xml:space="preserve">Post without CSRF token rejected</t>
  </si>
  <si>
    <t xml:space="preserve">Security</t>
  </si>
  <si>
    <t xml:space="preserve">1. POST client step without token</t>
  </si>
  <si>
    <t xml:space="preserve">No token</t>
  </si>
  <si>
    <t xml:space="preserve">419</t>
  </si>
  <si>
    <t xml:space="preserve">TC-API-05</t>
  </si>
  <si>
    <t xml:space="preserve">Server rejects future DOB sent directly</t>
  </si>
  <si>
    <t xml:space="preserve">API-V03, DEF-API-002</t>
  </si>
  <si>
    <t xml:space="preserve">1. POST future DOB to client step</t>
  </si>
  <si>
    <t xml:space="preserve">Next year</t>
  </si>
  <si>
    <t xml:space="preserve">Error, DOB not saved</t>
  </si>
  <si>
    <t xml:space="preserve">TC-API-06</t>
  </si>
  <si>
    <t xml:space="preserve">Validate endpoint returns errors for empty draft</t>
  </si>
  <si>
    <t xml:space="preserve">API-V04</t>
  </si>
  <si>
    <t xml:space="preserve">1. POST /applications/{id}/validate</t>
  </si>
  <si>
    <t xml:space="preserve">Empty draft</t>
  </si>
  <si>
    <t xml:space="preserve">Validation errors returned</t>
  </si>
  <si>
    <t xml:space="preserve">TC-API-07</t>
  </si>
  <si>
    <t xml:space="preserve">Submit endpoint refuses incomplete draft</t>
  </si>
  <si>
    <t xml:space="preserve">API-V05, DEF-WF-003</t>
  </si>
  <si>
    <t xml:space="preserve">1. POST /applications/{id}/submit
2. Check status</t>
  </si>
  <si>
    <t xml:space="preserve">Refused, status stays DRAFT</t>
  </si>
  <si>
    <t xml:space="preserve">TC-API-08</t>
  </si>
  <si>
    <t xml:space="preserve">Another agent's application not returned</t>
  </si>
  <si>
    <t xml:space="preserve">API-V08, DEF-API-001</t>
  </si>
  <si>
    <t xml:space="preserve">1. GET agent.draft's application review page</t>
  </si>
  <si>
    <t xml:space="preserve">403 or 404</t>
  </si>
  <si>
    <t xml:space="preserve">Defect Code</t>
  </si>
  <si>
    <t xml:space="preserve">Active in Seed</t>
  </si>
  <si>
    <t xml:space="preserve">Covered By</t>
  </si>
  <si>
    <t xml:space="preserve">DEF-AUTH-001</t>
  </si>
  <si>
    <t xml:space="preserve">Locked account message mismatch</t>
  </si>
  <si>
    <t xml:space="preserve">Yes</t>
  </si>
  <si>
    <t xml:space="preserve">DEF-AUTH-002</t>
  </si>
  <si>
    <t xml:space="preserve">Weak password accepted</t>
  </si>
  <si>
    <t xml:space="preserve">DEF-AUTH-003</t>
  </si>
  <si>
    <t xml:space="preserve">Failed login counter not reset</t>
  </si>
  <si>
    <t xml:space="preserve">No</t>
  </si>
  <si>
    <t xml:space="preserve">Not covered</t>
  </si>
  <si>
    <t xml:space="preserve">DEF-AUTH-004</t>
  </si>
  <si>
    <t xml:space="preserve">Duplicate license case mismatch</t>
  </si>
  <si>
    <t xml:space="preserve">DEF-AUTH-005</t>
  </si>
  <si>
    <t xml:space="preserve">Expired OTP accepted</t>
  </si>
  <si>
    <t xml:space="preserve">Same password accepted</t>
  </si>
  <si>
    <t xml:space="preserve">DEF-CLI-001</t>
  </si>
  <si>
    <t xml:space="preserve">Future DOB accepted</t>
  </si>
  <si>
    <t xml:space="preserve">DEF-CLI-002</t>
  </si>
  <si>
    <t xml:space="preserve">KYC</t>
  </si>
  <si>
    <t xml:space="preserve">SSN masking not enforced</t>
  </si>
  <si>
    <t xml:space="preserve">Age boundary off by one</t>
  </si>
  <si>
    <t xml:space="preserve">Invalid name characters allowed</t>
  </si>
  <si>
    <t xml:space="preserve">DEF-CLI-005</t>
  </si>
  <si>
    <t xml:space="preserve">Gender validation mismatch</t>
  </si>
  <si>
    <t xml:space="preserve">DEF-CLI-006</t>
  </si>
  <si>
    <t xml:space="preserve">Marital status saves previous value</t>
  </si>
  <si>
    <t xml:space="preserve">DEF-ADDR-001</t>
  </si>
  <si>
    <t xml:space="preserve">Address</t>
  </si>
  <si>
    <t xml:space="preserve">Postal code not copied</t>
  </si>
  <si>
    <t xml:space="preserve">DEF-ADDR-002</t>
  </si>
  <si>
    <t xml:space="preserve">Mailing required despite same-as</t>
  </si>
  <si>
    <t xml:space="preserve">Invalid US state length accepted</t>
  </si>
  <si>
    <t xml:space="preserve">ZIP accepts letters</t>
  </si>
  <si>
    <t xml:space="preserve">DEF-CONTACT-001</t>
  </si>
  <si>
    <t xml:space="preserve">Contact</t>
  </si>
  <si>
    <t xml:space="preserve">Invalid email accepted</t>
  </si>
  <si>
    <t xml:space="preserve">DEF-CONTACT-002</t>
  </si>
  <si>
    <t xml:space="preserve">Short phone accepted</t>
  </si>
  <si>
    <t xml:space="preserve">DEF-CONTACT-003</t>
  </si>
  <si>
    <t xml:space="preserve">Preferred communication not saved</t>
  </si>
  <si>
    <t xml:space="preserve">Financial Suitability</t>
  </si>
  <si>
    <t xml:space="preserve">Affordability skipped</t>
  </si>
  <si>
    <t xml:space="preserve">DEF-PROD-001</t>
  </si>
  <si>
    <t xml:space="preserve">Premium not recalculated</t>
  </si>
  <si>
    <t xml:space="preserve">DEF-PROD-002</t>
  </si>
  <si>
    <t xml:space="preserve">Below minimum accepted</t>
  </si>
  <si>
    <t xml:space="preserve">DEF-PROD-003</t>
  </si>
  <si>
    <t xml:space="preserve">Above maximum accepted</t>
  </si>
  <si>
    <t xml:space="preserve">DEF-PROD-004</t>
  </si>
  <si>
    <t xml:space="preserve">Frequency save mismatch</t>
  </si>
  <si>
    <t xml:space="preserve">DEF-PROD-005</t>
  </si>
  <si>
    <t xml:space="preserve">Term relationship invalid</t>
  </si>
  <si>
    <t xml:space="preserve">DEF-RIDER-001</t>
  </si>
  <si>
    <t xml:space="preserve">Rider Selection</t>
  </si>
  <si>
    <t xml:space="preserve">Mutually exclusive riders allowed</t>
  </si>
  <si>
    <t xml:space="preserve">DEF-RIDER-002</t>
  </si>
  <si>
    <t xml:space="preserve">Coverage exceeds base</t>
  </si>
  <si>
    <t xml:space="preserve">DEF-RIDER-003</t>
  </si>
  <si>
    <t xml:space="preserve">Too many riders allowed</t>
  </si>
  <si>
    <t xml:space="preserve">DEF-RIDER-004</t>
  </si>
  <si>
    <t xml:space="preserve">Inactive rider visible</t>
  </si>
  <si>
    <t xml:space="preserve">DEF-RIDER-005</t>
  </si>
  <si>
    <t xml:space="preserve">Negative coverage accepted</t>
  </si>
  <si>
    <t xml:space="preserve">DEF-RIDER-006</t>
  </si>
  <si>
    <t xml:space="preserve">Removing rider leaves premium stale</t>
  </si>
  <si>
    <t xml:space="preserve">DEF-BEN-001</t>
  </si>
  <si>
    <t xml:space="preserve">Beneficiary</t>
  </si>
  <si>
    <t xml:space="preserve">Primary allocation mismatch allowed</t>
  </si>
  <si>
    <t xml:space="preserve">TC-BEN-02, TC-BEN-03</t>
  </si>
  <si>
    <t xml:space="preserve">DEF-BEN-002</t>
  </si>
  <si>
    <t xml:space="preserve">Minor guardian skipped</t>
  </si>
  <si>
    <t xml:space="preserve">DEF-BEN-003</t>
  </si>
  <si>
    <t xml:space="preserve">Trust trustee missing</t>
  </si>
  <si>
    <t xml:space="preserve">DEF-BEN-004</t>
  </si>
  <si>
    <t xml:space="preserve">Organization name missing</t>
  </si>
  <si>
    <t xml:space="preserve">DEF-BEN-005</t>
  </si>
  <si>
    <t xml:space="preserve">Irrevocable removal allowed</t>
  </si>
  <si>
    <t xml:space="preserve">DEF-BEN-006</t>
  </si>
  <si>
    <t xml:space="preserve">Irrevocable confirmation missing</t>
  </si>
  <si>
    <t xml:space="preserve">DEF-BEN-007</t>
  </si>
  <si>
    <t xml:space="preserve">Estate fallback missing</t>
  </si>
  <si>
    <t xml:space="preserve">DEF-BEN-008</t>
  </si>
  <si>
    <t xml:space="preserve">Review validation mismatch</t>
  </si>
  <si>
    <t xml:space="preserve">DEF-DOC-001</t>
  </si>
  <si>
    <t xml:space="preserve">Document Upload</t>
  </si>
  <si>
    <t xml:space="preserve">Missing KYC not blocking</t>
  </si>
  <si>
    <t xml:space="preserve">DEF-DOC-002</t>
  </si>
  <si>
    <t xml:space="preserve">Unsupported file accepted</t>
  </si>
  <si>
    <t xml:space="preserve">DEF-DOC-003</t>
  </si>
  <si>
    <t xml:space="preserve">Oversized file accepted</t>
  </si>
  <si>
    <t xml:space="preserve">DEF-DOC-004</t>
  </si>
  <si>
    <t xml:space="preserve">Delete leaves metadata</t>
  </si>
  <si>
    <t xml:space="preserve">DEF-WF-001</t>
  </si>
  <si>
    <t xml:space="preserve">Draft Workflow</t>
  </si>
  <si>
    <t xml:space="preserve">Beneficiary draft not persisted</t>
  </si>
  <si>
    <t xml:space="preserve">DEF-WF-002</t>
  </si>
  <si>
    <t xml:space="preserve">Submission</t>
  </si>
  <si>
    <t xml:space="preserve">Submit enabled with errors</t>
  </si>
  <si>
    <t xml:space="preserve">DEF-WF-003</t>
  </si>
  <si>
    <t xml:space="preserve">Status changes despite validation failure</t>
  </si>
  <si>
    <t xml:space="preserve">DEF-WF-004</t>
  </si>
  <si>
    <t xml:space="preserve">Reference not generated</t>
  </si>
  <si>
    <t xml:space="preserve">DEF-WF-005</t>
  </si>
  <si>
    <t xml:space="preserve">Submitted app still editable</t>
  </si>
  <si>
    <t xml:space="preserve">DEF-STATUS-001</t>
  </si>
  <si>
    <t xml:space="preserve">Status</t>
  </si>
  <si>
    <t xml:space="preserve">Dashboard status wrong</t>
  </si>
  <si>
    <t xml:space="preserve">DEF-API-001</t>
  </si>
  <si>
    <t xml:space="preserve">API</t>
  </si>
  <si>
    <t xml:space="preserve">Cross-agent data exposure</t>
  </si>
  <si>
    <t xml:space="preserve">TC-DASH-03, TC-API-08</t>
  </si>
  <si>
    <t xml:space="preserve">DEF-API-002</t>
  </si>
  <si>
    <t xml:space="preserve">API/UI validation mismatch</t>
  </si>
  <si>
    <t xml:space="preserve">DEF-API-003</t>
  </si>
  <si>
    <t xml:space="preserve">Unauthorized API key accepted</t>
  </si>
  <si>
    <t xml:space="preserve">Not applicable: app has no API key or JSON API</t>
  </si>
  <si>
    <t xml:space="preserve">DEF-API-004</t>
  </si>
  <si>
    <t xml:space="preserve">Stale premium in API response</t>
  </si>
  <si>
    <t xml:space="preserve">Not applicable: app has no JSON API</t>
  </si>
  <si>
    <t xml:space="preserve">OWN-01</t>
  </si>
  <si>
    <t xml:space="preserve">Workflow</t>
  </si>
  <si>
    <t xml:space="preserve">Continue links skip step validation</t>
  </si>
  <si>
    <t xml:space="preserve">OWN-02</t>
  </si>
  <si>
    <t xml:space="preserve">Self-registered agents active with no approval</t>
  </si>
  <si>
    <t xml:space="preserve">Observation only</t>
  </si>
  <si>
    <t xml:space="preserve">OWN-03</t>
  </si>
  <si>
    <t xml:space="preserve">Password show/hide icon disappears on registration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</si>
</sst>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F6C"/>
      <name val="Century Gothic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2F6C"/>
        <bgColor rgb="FF333399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2F6C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F6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6</v>
      </c>
      <c r="C4" s="3" t="n">
        <f aca="false">COUNTIF('Test Cases'!$C$2:$C$67,A4)</f>
        <v>7</v>
      </c>
      <c r="D4" s="3" t="n">
        <f aca="false">COUNTIFS('Test Cases'!$C$2:$C$67,A4,'Test Cases'!$L$2:$L$67,"Automated")</f>
        <v>7</v>
      </c>
      <c r="E4" s="3" t="n">
        <f aca="false">COUNTIFS('Test Cases'!$C$2:$C$67,A4,'Test Cases'!$L$2:$L$67,"In progress")</f>
        <v>0</v>
      </c>
    </row>
    <row r="5" customFormat="false" ht="15" hidden="false" customHeight="false" outlineLevel="0" collapsed="false">
      <c r="A5" s="5" t="s">
        <v>7</v>
      </c>
      <c r="B5" s="6" t="n">
        <v>4</v>
      </c>
      <c r="C5" s="5" t="n">
        <f aca="false">COUNTIF('Test Cases'!$C$2:$C$67,A5)</f>
        <v>4</v>
      </c>
      <c r="D5" s="5" t="n">
        <f aca="false">COUNTIFS('Test Cases'!$C$2:$C$67,A5,'Test Cases'!$L$2:$L$67,"Automated")</f>
        <v>4</v>
      </c>
      <c r="E5" s="5" t="n">
        <f aca="false">COUNTIFS('Test Cases'!$C$2:$C$67,A5,'Test Cases'!$L$2:$L$67,"In progress")</f>
        <v>0</v>
      </c>
    </row>
    <row r="6" customFormat="false" ht="15" hidden="false" customHeight="false" outlineLevel="0" collapsed="false">
      <c r="A6" s="3" t="s">
        <v>8</v>
      </c>
      <c r="B6" s="4" t="n">
        <v>8</v>
      </c>
      <c r="C6" s="3" t="n">
        <f aca="false">COUNTIF('Test Cases'!$C$2:$C$67,A6)</f>
        <v>8</v>
      </c>
      <c r="D6" s="3" t="n">
        <f aca="false">COUNTIFS('Test Cases'!$C$2:$C$67,A6,'Test Cases'!$L$2:$L$67,"Automated")</f>
        <v>8</v>
      </c>
      <c r="E6" s="3" t="n">
        <f aca="false">COUNTIFS('Test Cases'!$C$2:$C$67,A6,'Test Cases'!$L$2:$L$67,"In progress")</f>
        <v>0</v>
      </c>
    </row>
    <row r="7" customFormat="false" ht="15" hidden="false" customHeight="false" outlineLevel="0" collapsed="false">
      <c r="A7" s="5" t="s">
        <v>9</v>
      </c>
      <c r="B7" s="6" t="n">
        <v>5</v>
      </c>
      <c r="C7" s="5" t="n">
        <f aca="false">COUNTIF('Test Cases'!$C$2:$C$67,A7)</f>
        <v>5</v>
      </c>
      <c r="D7" s="5" t="n">
        <f aca="false">COUNTIFS('Test Cases'!$C$2:$C$67,A7,'Test Cases'!$L$2:$L$67,"Automated")</f>
        <v>5</v>
      </c>
      <c r="E7" s="5" t="n">
        <f aca="false">COUNTIFS('Test Cases'!$C$2:$C$67,A7,'Test Cases'!$L$2:$L$67,"In progress")</f>
        <v>0</v>
      </c>
    </row>
    <row r="8" customFormat="false" ht="15" hidden="false" customHeight="false" outlineLevel="0" collapsed="false">
      <c r="A8" s="3" t="s">
        <v>10</v>
      </c>
      <c r="B8" s="4" t="n">
        <v>6</v>
      </c>
      <c r="C8" s="3" t="n">
        <f aca="false">COUNTIF('Test Cases'!$C$2:$C$67,A8)</f>
        <v>6</v>
      </c>
      <c r="D8" s="3" t="n">
        <f aca="false">COUNTIFS('Test Cases'!$C$2:$C$67,A8,'Test Cases'!$L$2:$L$67,"Automated")</f>
        <v>6</v>
      </c>
      <c r="E8" s="3" t="n">
        <f aca="false">COUNTIFS('Test Cases'!$C$2:$C$67,A8,'Test Cases'!$L$2:$L$67,"In progress")</f>
        <v>0</v>
      </c>
    </row>
    <row r="9" customFormat="false" ht="15" hidden="false" customHeight="false" outlineLevel="0" collapsed="false">
      <c r="A9" s="5" t="s">
        <v>11</v>
      </c>
      <c r="B9" s="6" t="n">
        <v>6</v>
      </c>
      <c r="C9" s="5" t="n">
        <f aca="false">COUNTIF('Test Cases'!$C$2:$C$67,A9)</f>
        <v>6</v>
      </c>
      <c r="D9" s="5" t="n">
        <f aca="false">COUNTIFS('Test Cases'!$C$2:$C$67,A9,'Test Cases'!$L$2:$L$67,"Automated")</f>
        <v>6</v>
      </c>
      <c r="E9" s="5" t="n">
        <f aca="false">COUNTIFS('Test Cases'!$C$2:$C$67,A9,'Test Cases'!$L$2:$L$67,"In progress")</f>
        <v>0</v>
      </c>
    </row>
    <row r="10" customFormat="false" ht="15" hidden="false" customHeight="false" outlineLevel="0" collapsed="false">
      <c r="A10" s="3" t="s">
        <v>12</v>
      </c>
      <c r="B10" s="4" t="n">
        <v>5</v>
      </c>
      <c r="C10" s="3" t="n">
        <f aca="false">COUNTIF('Test Cases'!$C$2:$C$67,A10)</f>
        <v>5</v>
      </c>
      <c r="D10" s="3" t="n">
        <f aca="false">COUNTIFS('Test Cases'!$C$2:$C$67,A10,'Test Cases'!$L$2:$L$67,"Automated")</f>
        <v>5</v>
      </c>
      <c r="E10" s="3" t="n">
        <f aca="false">COUNTIFS('Test Cases'!$C$2:$C$67,A10,'Test Cases'!$L$2:$L$67,"In progress")</f>
        <v>0</v>
      </c>
    </row>
    <row r="11" customFormat="false" ht="15" hidden="false" customHeight="false" outlineLevel="0" collapsed="false">
      <c r="A11" s="5" t="s">
        <v>13</v>
      </c>
      <c r="B11" s="6" t="n">
        <v>7</v>
      </c>
      <c r="C11" s="5" t="n">
        <f aca="false">COUNTIF('Test Cases'!$C$2:$C$67,A11)</f>
        <v>7</v>
      </c>
      <c r="D11" s="5" t="n">
        <f aca="false">COUNTIFS('Test Cases'!$C$2:$C$67,A11,'Test Cases'!$L$2:$L$67,"Automated")</f>
        <v>7</v>
      </c>
      <c r="E11" s="5" t="n">
        <f aca="false">COUNTIFS('Test Cases'!$C$2:$C$67,A11,'Test Cases'!$L$2:$L$67,"In progress")</f>
        <v>0</v>
      </c>
    </row>
    <row r="12" customFormat="false" ht="15" hidden="false" customHeight="false" outlineLevel="0" collapsed="false">
      <c r="A12" s="3" t="s">
        <v>14</v>
      </c>
      <c r="B12" s="4" t="n">
        <v>4</v>
      </c>
      <c r="C12" s="3" t="n">
        <f aca="false">COUNTIF('Test Cases'!$C$2:$C$67,A12)</f>
        <v>5</v>
      </c>
      <c r="D12" s="3" t="n">
        <f aca="false">COUNTIFS('Test Cases'!$C$2:$C$67,A12,'Test Cases'!$L$2:$L$67,"Automated")</f>
        <v>5</v>
      </c>
      <c r="E12" s="3" t="n">
        <f aca="false">COUNTIFS('Test Cases'!$C$2:$C$67,A12,'Test Cases'!$L$2:$L$67,"In progress")</f>
        <v>0</v>
      </c>
    </row>
    <row r="13" customFormat="false" ht="15" hidden="false" customHeight="false" outlineLevel="0" collapsed="false">
      <c r="A13" s="5" t="s">
        <v>15</v>
      </c>
      <c r="B13" s="6" t="n">
        <v>5</v>
      </c>
      <c r="C13" s="5" t="n">
        <f aca="false">COUNTIF('Test Cases'!$C$2:$C$67,A13)</f>
        <v>5</v>
      </c>
      <c r="D13" s="5" t="n">
        <f aca="false">COUNTIFS('Test Cases'!$C$2:$C$67,A13,'Test Cases'!$L$2:$L$67,"Automated")</f>
        <v>5</v>
      </c>
      <c r="E13" s="5" t="n">
        <f aca="false">COUNTIFS('Test Cases'!$C$2:$C$67,A13,'Test Cases'!$L$2:$L$67,"In progress")</f>
        <v>0</v>
      </c>
    </row>
    <row r="14" customFormat="false" ht="15" hidden="false" customHeight="false" outlineLevel="0" collapsed="false">
      <c r="A14" s="3" t="s">
        <v>16</v>
      </c>
      <c r="B14" s="4" t="n">
        <v>8</v>
      </c>
      <c r="C14" s="3" t="n">
        <f aca="false">COUNTIF('Test Cases'!$C$2:$C$67,A14)</f>
        <v>8</v>
      </c>
      <c r="D14" s="3" t="n">
        <f aca="false">COUNTIFS('Test Cases'!$C$2:$C$67,A14,'Test Cases'!$L$2:$L$67,"Automated")</f>
        <v>8</v>
      </c>
      <c r="E14" s="3" t="n">
        <f aca="false">COUNTIFS('Test Cases'!$C$2:$C$67,A14,'Test Cases'!$L$2:$L$67,"In progress")</f>
        <v>0</v>
      </c>
    </row>
    <row r="15" customFormat="false" ht="15" hidden="false" customHeight="false" outlineLevel="0" collapsed="false">
      <c r="A15" s="7" t="s">
        <v>17</v>
      </c>
      <c r="B15" s="7" t="n">
        <f aca="false">SUM(B4:B14)</f>
        <v>64</v>
      </c>
      <c r="C15" s="7" t="n">
        <f aca="false">SUM(C4:C14)</f>
        <v>66</v>
      </c>
      <c r="D15" s="7" t="n">
        <f aca="false">SUM(D4:D14)</f>
        <v>66</v>
      </c>
      <c r="E15" s="7" t="n">
        <f aca="false">SUM(E4:E14)</f>
        <v>0</v>
      </c>
    </row>
    <row r="17" customFormat="false" ht="15" hidden="false" customHeight="false" outlineLevel="0" collapsed="false">
      <c r="A17" s="8" t="s">
        <v>18</v>
      </c>
    </row>
    <row r="18" customFormat="false" ht="15" hidden="false" customHeight="false" outlineLevel="0" collapsed="false">
      <c r="A18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32"/>
  </cols>
  <sheetData>
    <row r="1" customFormat="false" ht="28.35" hidden="false" customHeight="false" outlineLevel="0" collapsed="false">
      <c r="A1" s="2" t="s">
        <v>20</v>
      </c>
      <c r="B1" s="2" t="s">
        <v>21</v>
      </c>
      <c r="C1" s="2" t="s">
        <v>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</row>
    <row r="2" customFormat="false" ht="35.05" hidden="false" customHeight="false" outlineLevel="0" collapsed="false">
      <c r="A2" s="9" t="s">
        <v>32</v>
      </c>
      <c r="B2" s="3" t="s">
        <v>33</v>
      </c>
      <c r="C2" s="3" t="s">
        <v>6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</v>
      </c>
      <c r="M2" s="3" t="s">
        <v>42</v>
      </c>
    </row>
    <row r="3" customFormat="false" ht="35.05" hidden="false" customHeight="false" outlineLevel="0" collapsed="false">
      <c r="A3" s="10" t="s">
        <v>43</v>
      </c>
      <c r="B3" s="5" t="s">
        <v>44</v>
      </c>
      <c r="C3" s="5" t="s">
        <v>6</v>
      </c>
      <c r="D3" s="5" t="s">
        <v>45</v>
      </c>
      <c r="E3" s="5" t="s">
        <v>35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40</v>
      </c>
      <c r="K3" s="5" t="s">
        <v>41</v>
      </c>
      <c r="L3" s="5" t="s">
        <v>4</v>
      </c>
      <c r="M3" s="5" t="s">
        <v>42</v>
      </c>
    </row>
    <row r="4" customFormat="false" ht="23.85" hidden="false" customHeight="false" outlineLevel="0" collapsed="false">
      <c r="A4" s="9" t="s">
        <v>50</v>
      </c>
      <c r="B4" s="3" t="s">
        <v>51</v>
      </c>
      <c r="C4" s="3" t="s">
        <v>6</v>
      </c>
      <c r="D4" s="3" t="s">
        <v>52</v>
      </c>
      <c r="E4" s="3" t="s">
        <v>53</v>
      </c>
      <c r="F4" s="3" t="s">
        <v>54</v>
      </c>
      <c r="G4" s="3" t="s">
        <v>37</v>
      </c>
      <c r="H4" s="3" t="s">
        <v>55</v>
      </c>
      <c r="I4" s="3" t="s">
        <v>39</v>
      </c>
      <c r="J4" s="3" t="s">
        <v>40</v>
      </c>
      <c r="K4" s="3" t="s">
        <v>41</v>
      </c>
      <c r="L4" s="3" t="s">
        <v>4</v>
      </c>
      <c r="M4" s="3" t="s">
        <v>42</v>
      </c>
    </row>
    <row r="5" customFormat="false" ht="23.85" hidden="false" customHeight="false" outlineLevel="0" collapsed="false">
      <c r="A5" s="10" t="s">
        <v>56</v>
      </c>
      <c r="B5" s="5" t="s">
        <v>57</v>
      </c>
      <c r="C5" s="5" t="s">
        <v>6</v>
      </c>
      <c r="D5" s="5" t="s">
        <v>58</v>
      </c>
      <c r="E5" s="5" t="s">
        <v>35</v>
      </c>
      <c r="F5" s="5" t="s">
        <v>59</v>
      </c>
      <c r="G5" s="5" t="s">
        <v>60</v>
      </c>
      <c r="H5" s="5" t="s">
        <v>61</v>
      </c>
      <c r="I5" s="5" t="s">
        <v>49</v>
      </c>
      <c r="J5" s="5" t="s">
        <v>40</v>
      </c>
      <c r="K5" s="5" t="s">
        <v>41</v>
      </c>
      <c r="L5" s="5" t="s">
        <v>4</v>
      </c>
      <c r="M5" s="5" t="s">
        <v>42</v>
      </c>
    </row>
    <row r="6" customFormat="false" ht="35.05" hidden="false" customHeight="false" outlineLevel="0" collapsed="false">
      <c r="A6" s="9" t="s">
        <v>62</v>
      </c>
      <c r="B6" s="3" t="s">
        <v>63</v>
      </c>
      <c r="C6" s="3" t="s">
        <v>6</v>
      </c>
      <c r="D6" s="3" t="s">
        <v>64</v>
      </c>
      <c r="E6" s="3" t="s">
        <v>35</v>
      </c>
      <c r="F6" s="3" t="s">
        <v>65</v>
      </c>
      <c r="G6" s="3" t="s">
        <v>66</v>
      </c>
      <c r="H6" s="3" t="s">
        <v>67</v>
      </c>
      <c r="I6" s="3" t="s">
        <v>49</v>
      </c>
      <c r="J6" s="3" t="s">
        <v>40</v>
      </c>
      <c r="K6" s="3" t="s">
        <v>41</v>
      </c>
      <c r="L6" s="3" t="s">
        <v>4</v>
      </c>
      <c r="M6" s="3" t="s">
        <v>68</v>
      </c>
    </row>
    <row r="7" customFormat="false" ht="35.05" hidden="false" customHeight="false" outlineLevel="0" collapsed="false">
      <c r="A7" s="10" t="s">
        <v>69</v>
      </c>
      <c r="B7" s="5" t="s">
        <v>70</v>
      </c>
      <c r="C7" s="5" t="s">
        <v>6</v>
      </c>
      <c r="D7" s="5" t="s">
        <v>71</v>
      </c>
      <c r="E7" s="5" t="s">
        <v>72</v>
      </c>
      <c r="F7" s="5" t="s">
        <v>73</v>
      </c>
      <c r="G7" s="5" t="s">
        <v>74</v>
      </c>
      <c r="H7" s="5" t="s">
        <v>75</v>
      </c>
      <c r="I7" s="5" t="s">
        <v>76</v>
      </c>
      <c r="J7" s="5" t="s">
        <v>77</v>
      </c>
      <c r="K7" s="5" t="s">
        <v>41</v>
      </c>
      <c r="L7" s="5" t="s">
        <v>4</v>
      </c>
      <c r="M7" s="5" t="s">
        <v>68</v>
      </c>
    </row>
    <row r="8" customFormat="false" ht="35.05" hidden="false" customHeight="false" outlineLevel="0" collapsed="false">
      <c r="A8" s="9" t="s">
        <v>78</v>
      </c>
      <c r="B8" s="3" t="s">
        <v>79</v>
      </c>
      <c r="C8" s="3" t="s">
        <v>6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49</v>
      </c>
      <c r="J8" s="3" t="s">
        <v>77</v>
      </c>
      <c r="K8" s="3" t="s">
        <v>41</v>
      </c>
      <c r="L8" s="3" t="s">
        <v>4</v>
      </c>
      <c r="M8" s="3" t="s">
        <v>42</v>
      </c>
    </row>
    <row r="9" customFormat="false" ht="23.85" hidden="false" customHeight="false" outlineLevel="0" collapsed="false">
      <c r="A9" s="10" t="s">
        <v>85</v>
      </c>
      <c r="B9" s="5" t="s">
        <v>86</v>
      </c>
      <c r="C9" s="5" t="s">
        <v>7</v>
      </c>
      <c r="D9" s="5" t="s">
        <v>87</v>
      </c>
      <c r="E9" s="5" t="s">
        <v>72</v>
      </c>
      <c r="F9" s="5" t="s">
        <v>88</v>
      </c>
      <c r="G9" s="5" t="s">
        <v>89</v>
      </c>
      <c r="H9" s="5" t="s">
        <v>90</v>
      </c>
      <c r="I9" s="5" t="s">
        <v>49</v>
      </c>
      <c r="J9" s="5" t="s">
        <v>40</v>
      </c>
      <c r="K9" s="5" t="s">
        <v>41</v>
      </c>
      <c r="L9" s="5" t="s">
        <v>4</v>
      </c>
      <c r="M9" s="5" t="s">
        <v>91</v>
      </c>
    </row>
    <row r="10" customFormat="false" ht="35.05" hidden="false" customHeight="false" outlineLevel="0" collapsed="false">
      <c r="A10" s="9" t="s">
        <v>92</v>
      </c>
      <c r="B10" s="3" t="s">
        <v>93</v>
      </c>
      <c r="C10" s="3" t="s">
        <v>7</v>
      </c>
      <c r="D10" s="3" t="s">
        <v>87</v>
      </c>
      <c r="E10" s="3" t="s">
        <v>72</v>
      </c>
      <c r="F10" s="3" t="s">
        <v>94</v>
      </c>
      <c r="G10" s="3" t="s">
        <v>89</v>
      </c>
      <c r="H10" s="3" t="s">
        <v>95</v>
      </c>
      <c r="I10" s="3" t="s">
        <v>49</v>
      </c>
      <c r="J10" s="3" t="s">
        <v>40</v>
      </c>
      <c r="K10" s="3" t="s">
        <v>41</v>
      </c>
      <c r="L10" s="3" t="s">
        <v>4</v>
      </c>
      <c r="M10" s="3" t="s">
        <v>91</v>
      </c>
    </row>
    <row r="11" customFormat="false" ht="23.85" hidden="false" customHeight="false" outlineLevel="0" collapsed="false">
      <c r="A11" s="10" t="s">
        <v>96</v>
      </c>
      <c r="B11" s="5" t="s">
        <v>97</v>
      </c>
      <c r="C11" s="5" t="s">
        <v>7</v>
      </c>
      <c r="D11" s="5" t="s">
        <v>98</v>
      </c>
      <c r="E11" s="5" t="s">
        <v>72</v>
      </c>
      <c r="F11" s="5" t="s">
        <v>99</v>
      </c>
      <c r="G11" s="5" t="s">
        <v>100</v>
      </c>
      <c r="H11" s="5" t="s">
        <v>101</v>
      </c>
      <c r="I11" s="5" t="s">
        <v>39</v>
      </c>
      <c r="J11" s="5" t="s">
        <v>40</v>
      </c>
      <c r="K11" s="5" t="s">
        <v>41</v>
      </c>
      <c r="L11" s="5" t="s">
        <v>4</v>
      </c>
      <c r="M11" s="5" t="s">
        <v>91</v>
      </c>
    </row>
    <row r="12" customFormat="false" ht="15" hidden="false" customHeight="false" outlineLevel="0" collapsed="false">
      <c r="A12" s="9" t="s">
        <v>102</v>
      </c>
      <c r="B12" s="3" t="s">
        <v>103</v>
      </c>
      <c r="C12" s="3" t="s">
        <v>7</v>
      </c>
      <c r="D12" s="3" t="s">
        <v>104</v>
      </c>
      <c r="E12" s="3" t="s">
        <v>105</v>
      </c>
      <c r="F12" s="3" t="s">
        <v>88</v>
      </c>
      <c r="G12" s="3" t="s">
        <v>106</v>
      </c>
      <c r="H12" s="3" t="s">
        <v>107</v>
      </c>
      <c r="I12" s="3" t="s">
        <v>108</v>
      </c>
      <c r="J12" s="3" t="s">
        <v>109</v>
      </c>
      <c r="K12" s="3" t="s">
        <v>41</v>
      </c>
      <c r="L12" s="3" t="s">
        <v>4</v>
      </c>
      <c r="M12" s="3" t="s">
        <v>91</v>
      </c>
    </row>
    <row r="13" customFormat="false" ht="23.85" hidden="false" customHeight="false" outlineLevel="0" collapsed="false">
      <c r="A13" s="10" t="s">
        <v>110</v>
      </c>
      <c r="B13" s="5" t="s">
        <v>111</v>
      </c>
      <c r="C13" s="5" t="s">
        <v>8</v>
      </c>
      <c r="D13" s="5" t="s">
        <v>112</v>
      </c>
      <c r="E13" s="5" t="s">
        <v>113</v>
      </c>
      <c r="F13" s="5" t="s">
        <v>114</v>
      </c>
      <c r="G13" s="5" t="s">
        <v>115</v>
      </c>
      <c r="H13" s="5" t="s">
        <v>116</v>
      </c>
      <c r="I13" s="5" t="s">
        <v>49</v>
      </c>
      <c r="J13" s="5" t="s">
        <v>40</v>
      </c>
      <c r="K13" s="5" t="s">
        <v>41</v>
      </c>
      <c r="L13" s="5" t="s">
        <v>4</v>
      </c>
      <c r="M13" s="5" t="s">
        <v>117</v>
      </c>
    </row>
    <row r="14" customFormat="false" ht="23.85" hidden="false" customHeight="false" outlineLevel="0" collapsed="false">
      <c r="A14" s="9" t="s">
        <v>118</v>
      </c>
      <c r="B14" s="3" t="s">
        <v>119</v>
      </c>
      <c r="C14" s="3" t="s">
        <v>8</v>
      </c>
      <c r="D14" s="3" t="s">
        <v>120</v>
      </c>
      <c r="E14" s="3" t="s">
        <v>113</v>
      </c>
      <c r="F14" s="3" t="s">
        <v>121</v>
      </c>
      <c r="G14" s="3" t="s">
        <v>122</v>
      </c>
      <c r="H14" s="3" t="s">
        <v>123</v>
      </c>
      <c r="I14" s="3" t="s">
        <v>49</v>
      </c>
      <c r="J14" s="3" t="s">
        <v>40</v>
      </c>
      <c r="K14" s="3" t="s">
        <v>41</v>
      </c>
      <c r="L14" s="3" t="s">
        <v>4</v>
      </c>
      <c r="M14" s="3" t="s">
        <v>117</v>
      </c>
    </row>
    <row r="15" customFormat="false" ht="23.85" hidden="false" customHeight="false" outlineLevel="0" collapsed="false">
      <c r="A15" s="10" t="s">
        <v>124</v>
      </c>
      <c r="B15" s="5" t="s">
        <v>125</v>
      </c>
      <c r="C15" s="5" t="s">
        <v>8</v>
      </c>
      <c r="D15" s="5" t="s">
        <v>126</v>
      </c>
      <c r="E15" s="5" t="s">
        <v>113</v>
      </c>
      <c r="F15" s="5" t="s">
        <v>127</v>
      </c>
      <c r="G15" s="5" t="s">
        <v>128</v>
      </c>
      <c r="H15" s="5" t="s">
        <v>129</v>
      </c>
      <c r="I15" s="5" t="s">
        <v>49</v>
      </c>
      <c r="J15" s="5" t="s">
        <v>40</v>
      </c>
      <c r="K15" s="5" t="s">
        <v>41</v>
      </c>
      <c r="L15" s="5" t="s">
        <v>4</v>
      </c>
      <c r="M15" s="5" t="s">
        <v>117</v>
      </c>
    </row>
    <row r="16" customFormat="false" ht="23.85" hidden="false" customHeight="false" outlineLevel="0" collapsed="false">
      <c r="A16" s="9" t="s">
        <v>130</v>
      </c>
      <c r="B16" s="3" t="s">
        <v>131</v>
      </c>
      <c r="C16" s="3" t="s">
        <v>8</v>
      </c>
      <c r="D16" s="3" t="s">
        <v>126</v>
      </c>
      <c r="E16" s="3" t="s">
        <v>113</v>
      </c>
      <c r="F16" s="3" t="s">
        <v>132</v>
      </c>
      <c r="G16" s="3" t="s">
        <v>133</v>
      </c>
      <c r="H16" s="3" t="s">
        <v>134</v>
      </c>
      <c r="I16" s="3" t="s">
        <v>76</v>
      </c>
      <c r="J16" s="3" t="s">
        <v>77</v>
      </c>
      <c r="K16" s="3" t="s">
        <v>41</v>
      </c>
      <c r="L16" s="3" t="s">
        <v>4</v>
      </c>
      <c r="M16" s="3" t="s">
        <v>117</v>
      </c>
    </row>
    <row r="17" customFormat="false" ht="23.85" hidden="false" customHeight="false" outlineLevel="0" collapsed="false">
      <c r="A17" s="10" t="s">
        <v>135</v>
      </c>
      <c r="B17" s="5" t="s">
        <v>136</v>
      </c>
      <c r="C17" s="5" t="s">
        <v>8</v>
      </c>
      <c r="D17" s="5" t="s">
        <v>137</v>
      </c>
      <c r="E17" s="5" t="s">
        <v>113</v>
      </c>
      <c r="F17" s="5" t="s">
        <v>138</v>
      </c>
      <c r="G17" s="5" t="s">
        <v>139</v>
      </c>
      <c r="H17" s="5" t="s">
        <v>129</v>
      </c>
      <c r="I17" s="5" t="s">
        <v>49</v>
      </c>
      <c r="J17" s="5" t="s">
        <v>40</v>
      </c>
      <c r="K17" s="5" t="s">
        <v>41</v>
      </c>
      <c r="L17" s="5" t="s">
        <v>4</v>
      </c>
      <c r="M17" s="5" t="s">
        <v>117</v>
      </c>
    </row>
    <row r="18" customFormat="false" ht="23.85" hidden="false" customHeight="false" outlineLevel="0" collapsed="false">
      <c r="A18" s="9" t="s">
        <v>140</v>
      </c>
      <c r="B18" s="3" t="s">
        <v>141</v>
      </c>
      <c r="C18" s="3" t="s">
        <v>8</v>
      </c>
      <c r="D18" s="3" t="s">
        <v>142</v>
      </c>
      <c r="E18" s="3" t="s">
        <v>113</v>
      </c>
      <c r="F18" s="3" t="s">
        <v>143</v>
      </c>
      <c r="G18" s="3" t="s">
        <v>144</v>
      </c>
      <c r="H18" s="3" t="s">
        <v>145</v>
      </c>
      <c r="I18" s="3" t="s">
        <v>49</v>
      </c>
      <c r="J18" s="3" t="s">
        <v>40</v>
      </c>
      <c r="K18" s="3" t="s">
        <v>41</v>
      </c>
      <c r="L18" s="3" t="s">
        <v>4</v>
      </c>
      <c r="M18" s="3" t="s">
        <v>117</v>
      </c>
    </row>
    <row r="19" customFormat="false" ht="23.85" hidden="false" customHeight="false" outlineLevel="0" collapsed="false">
      <c r="A19" s="10" t="s">
        <v>146</v>
      </c>
      <c r="B19" s="5" t="s">
        <v>147</v>
      </c>
      <c r="C19" s="5" t="s">
        <v>8</v>
      </c>
      <c r="D19" s="5" t="s">
        <v>148</v>
      </c>
      <c r="E19" s="5" t="s">
        <v>113</v>
      </c>
      <c r="F19" s="5" t="s">
        <v>149</v>
      </c>
      <c r="G19" s="5" t="s">
        <v>150</v>
      </c>
      <c r="H19" s="5" t="s">
        <v>151</v>
      </c>
      <c r="I19" s="5" t="s">
        <v>76</v>
      </c>
      <c r="J19" s="5" t="s">
        <v>77</v>
      </c>
      <c r="K19" s="5" t="s">
        <v>41</v>
      </c>
      <c r="L19" s="5" t="s">
        <v>4</v>
      </c>
      <c r="M19" s="5" t="s">
        <v>117</v>
      </c>
    </row>
    <row r="20" customFormat="false" ht="23.85" hidden="false" customHeight="false" outlineLevel="0" collapsed="false">
      <c r="A20" s="9" t="s">
        <v>152</v>
      </c>
      <c r="B20" s="3" t="s">
        <v>153</v>
      </c>
      <c r="C20" s="3" t="s">
        <v>8</v>
      </c>
      <c r="D20" s="3" t="s">
        <v>154</v>
      </c>
      <c r="E20" s="3" t="s">
        <v>113</v>
      </c>
      <c r="F20" s="3" t="s">
        <v>155</v>
      </c>
      <c r="G20" s="3" t="s">
        <v>156</v>
      </c>
      <c r="H20" s="3" t="s">
        <v>157</v>
      </c>
      <c r="I20" s="3" t="s">
        <v>108</v>
      </c>
      <c r="J20" s="3" t="s">
        <v>109</v>
      </c>
      <c r="K20" s="3" t="s">
        <v>41</v>
      </c>
      <c r="L20" s="3" t="s">
        <v>4</v>
      </c>
      <c r="M20" s="3" t="s">
        <v>117</v>
      </c>
    </row>
    <row r="21" customFormat="false" ht="23.85" hidden="false" customHeight="false" outlineLevel="0" collapsed="false">
      <c r="A21" s="10" t="s">
        <v>158</v>
      </c>
      <c r="B21" s="5" t="s">
        <v>159</v>
      </c>
      <c r="C21" s="5" t="s">
        <v>9</v>
      </c>
      <c r="D21" s="5" t="s">
        <v>160</v>
      </c>
      <c r="E21" s="5" t="s">
        <v>113</v>
      </c>
      <c r="F21" s="5" t="s">
        <v>161</v>
      </c>
      <c r="G21" s="5" t="s">
        <v>162</v>
      </c>
      <c r="H21" s="5" t="s">
        <v>163</v>
      </c>
      <c r="I21" s="5" t="s">
        <v>76</v>
      </c>
      <c r="J21" s="5" t="s">
        <v>77</v>
      </c>
      <c r="K21" s="5" t="s">
        <v>41</v>
      </c>
      <c r="L21" s="5" t="s">
        <v>4</v>
      </c>
      <c r="M21" s="5" t="s">
        <v>164</v>
      </c>
    </row>
    <row r="22" customFormat="false" ht="23.85" hidden="false" customHeight="false" outlineLevel="0" collapsed="false">
      <c r="A22" s="9" t="s">
        <v>165</v>
      </c>
      <c r="B22" s="3" t="s">
        <v>166</v>
      </c>
      <c r="C22" s="3" t="s">
        <v>9</v>
      </c>
      <c r="D22" s="3" t="s">
        <v>167</v>
      </c>
      <c r="E22" s="3" t="s">
        <v>113</v>
      </c>
      <c r="F22" s="3" t="s">
        <v>168</v>
      </c>
      <c r="G22" s="3" t="s">
        <v>169</v>
      </c>
      <c r="H22" s="3" t="s">
        <v>170</v>
      </c>
      <c r="I22" s="3" t="s">
        <v>76</v>
      </c>
      <c r="J22" s="3" t="s">
        <v>77</v>
      </c>
      <c r="K22" s="3" t="s">
        <v>41</v>
      </c>
      <c r="L22" s="3" t="s">
        <v>4</v>
      </c>
      <c r="M22" s="3" t="s">
        <v>164</v>
      </c>
    </row>
    <row r="23" customFormat="false" ht="23.85" hidden="false" customHeight="false" outlineLevel="0" collapsed="false">
      <c r="A23" s="10" t="s">
        <v>171</v>
      </c>
      <c r="B23" s="5" t="s">
        <v>172</v>
      </c>
      <c r="C23" s="5" t="s">
        <v>9</v>
      </c>
      <c r="D23" s="5" t="s">
        <v>173</v>
      </c>
      <c r="E23" s="5" t="s">
        <v>113</v>
      </c>
      <c r="F23" s="5" t="s">
        <v>174</v>
      </c>
      <c r="G23" s="5" t="s">
        <v>175</v>
      </c>
      <c r="H23" s="5" t="s">
        <v>176</v>
      </c>
      <c r="I23" s="5" t="s">
        <v>108</v>
      </c>
      <c r="J23" s="5" t="s">
        <v>109</v>
      </c>
      <c r="K23" s="5" t="s">
        <v>41</v>
      </c>
      <c r="L23" s="5" t="s">
        <v>4</v>
      </c>
      <c r="M23" s="5" t="s">
        <v>164</v>
      </c>
    </row>
    <row r="24" customFormat="false" ht="23.85" hidden="false" customHeight="false" outlineLevel="0" collapsed="false">
      <c r="A24" s="9" t="s">
        <v>177</v>
      </c>
      <c r="B24" s="3" t="s">
        <v>178</v>
      </c>
      <c r="C24" s="3" t="s">
        <v>9</v>
      </c>
      <c r="D24" s="3" t="s">
        <v>179</v>
      </c>
      <c r="E24" s="3" t="s">
        <v>113</v>
      </c>
      <c r="F24" s="3" t="s">
        <v>180</v>
      </c>
      <c r="G24" s="3" t="s">
        <v>181</v>
      </c>
      <c r="H24" s="3" t="s">
        <v>182</v>
      </c>
      <c r="I24" s="3" t="s">
        <v>76</v>
      </c>
      <c r="J24" s="3" t="s">
        <v>77</v>
      </c>
      <c r="K24" s="3" t="s">
        <v>41</v>
      </c>
      <c r="L24" s="3" t="s">
        <v>4</v>
      </c>
      <c r="M24" s="3" t="s">
        <v>164</v>
      </c>
    </row>
    <row r="25" customFormat="false" ht="23.85" hidden="false" customHeight="false" outlineLevel="0" collapsed="false">
      <c r="A25" s="10" t="s">
        <v>183</v>
      </c>
      <c r="B25" s="5" t="s">
        <v>184</v>
      </c>
      <c r="C25" s="5" t="s">
        <v>9</v>
      </c>
      <c r="D25" s="5" t="s">
        <v>185</v>
      </c>
      <c r="E25" s="5" t="s">
        <v>113</v>
      </c>
      <c r="F25" s="5" t="s">
        <v>186</v>
      </c>
      <c r="G25" s="5" t="s">
        <v>187</v>
      </c>
      <c r="H25" s="5" t="s">
        <v>188</v>
      </c>
      <c r="I25" s="5" t="s">
        <v>108</v>
      </c>
      <c r="J25" s="5" t="s">
        <v>109</v>
      </c>
      <c r="K25" s="5" t="s">
        <v>41</v>
      </c>
      <c r="L25" s="5" t="s">
        <v>4</v>
      </c>
      <c r="M25" s="5" t="s">
        <v>164</v>
      </c>
    </row>
    <row r="26" customFormat="false" ht="35.05" hidden="false" customHeight="false" outlineLevel="0" collapsed="false">
      <c r="A26" s="9" t="s">
        <v>189</v>
      </c>
      <c r="B26" s="3" t="s">
        <v>190</v>
      </c>
      <c r="C26" s="3" t="s">
        <v>10</v>
      </c>
      <c r="D26" s="3" t="s">
        <v>191</v>
      </c>
      <c r="E26" s="3" t="s">
        <v>113</v>
      </c>
      <c r="F26" s="3" t="s">
        <v>192</v>
      </c>
      <c r="G26" s="3" t="s">
        <v>193</v>
      </c>
      <c r="H26" s="3" t="s">
        <v>194</v>
      </c>
      <c r="I26" s="3" t="s">
        <v>49</v>
      </c>
      <c r="J26" s="3" t="s">
        <v>40</v>
      </c>
      <c r="K26" s="3" t="s">
        <v>41</v>
      </c>
      <c r="L26" s="3" t="s">
        <v>4</v>
      </c>
      <c r="M26" s="3" t="s">
        <v>195</v>
      </c>
    </row>
    <row r="27" customFormat="false" ht="23.85" hidden="false" customHeight="false" outlineLevel="0" collapsed="false">
      <c r="A27" s="10" t="s">
        <v>196</v>
      </c>
      <c r="B27" s="5" t="s">
        <v>197</v>
      </c>
      <c r="C27" s="5" t="s">
        <v>10</v>
      </c>
      <c r="D27" s="5" t="s">
        <v>198</v>
      </c>
      <c r="E27" s="5" t="s">
        <v>113</v>
      </c>
      <c r="F27" s="5" t="s">
        <v>199</v>
      </c>
      <c r="G27" s="5" t="s">
        <v>200</v>
      </c>
      <c r="H27" s="5" t="s">
        <v>201</v>
      </c>
      <c r="I27" s="5" t="s">
        <v>49</v>
      </c>
      <c r="J27" s="5" t="s">
        <v>40</v>
      </c>
      <c r="K27" s="5" t="s">
        <v>41</v>
      </c>
      <c r="L27" s="5" t="s">
        <v>4</v>
      </c>
      <c r="M27" s="5" t="s">
        <v>195</v>
      </c>
    </row>
    <row r="28" customFormat="false" ht="23.85" hidden="false" customHeight="false" outlineLevel="0" collapsed="false">
      <c r="A28" s="9" t="s">
        <v>202</v>
      </c>
      <c r="B28" s="3" t="s">
        <v>203</v>
      </c>
      <c r="C28" s="3" t="s">
        <v>10</v>
      </c>
      <c r="D28" s="3" t="s">
        <v>204</v>
      </c>
      <c r="E28" s="3" t="s">
        <v>113</v>
      </c>
      <c r="F28" s="3" t="s">
        <v>205</v>
      </c>
      <c r="G28" s="3" t="s">
        <v>187</v>
      </c>
      <c r="H28" s="3" t="s">
        <v>206</v>
      </c>
      <c r="I28" s="3" t="s">
        <v>76</v>
      </c>
      <c r="J28" s="3" t="s">
        <v>77</v>
      </c>
      <c r="K28" s="3" t="s">
        <v>41</v>
      </c>
      <c r="L28" s="3" t="s">
        <v>4</v>
      </c>
      <c r="M28" s="3" t="s">
        <v>195</v>
      </c>
    </row>
    <row r="29" customFormat="false" ht="23.85" hidden="false" customHeight="false" outlineLevel="0" collapsed="false">
      <c r="A29" s="10" t="s">
        <v>207</v>
      </c>
      <c r="B29" s="5" t="s">
        <v>208</v>
      </c>
      <c r="C29" s="5" t="s">
        <v>10</v>
      </c>
      <c r="D29" s="5" t="s">
        <v>209</v>
      </c>
      <c r="E29" s="5" t="s">
        <v>113</v>
      </c>
      <c r="F29" s="5" t="s">
        <v>210</v>
      </c>
      <c r="G29" s="5" t="s">
        <v>211</v>
      </c>
      <c r="H29" s="5" t="s">
        <v>212</v>
      </c>
      <c r="I29" s="5" t="s">
        <v>49</v>
      </c>
      <c r="J29" s="5" t="s">
        <v>40</v>
      </c>
      <c r="K29" s="5" t="s">
        <v>41</v>
      </c>
      <c r="L29" s="5" t="s">
        <v>4</v>
      </c>
      <c r="M29" s="5" t="s">
        <v>195</v>
      </c>
    </row>
    <row r="30" customFormat="false" ht="23.85" hidden="false" customHeight="false" outlineLevel="0" collapsed="false">
      <c r="A30" s="9" t="s">
        <v>213</v>
      </c>
      <c r="B30" s="3" t="s">
        <v>214</v>
      </c>
      <c r="C30" s="3" t="s">
        <v>10</v>
      </c>
      <c r="D30" s="3" t="s">
        <v>215</v>
      </c>
      <c r="E30" s="3" t="s">
        <v>113</v>
      </c>
      <c r="F30" s="3" t="s">
        <v>216</v>
      </c>
      <c r="G30" s="3" t="s">
        <v>217</v>
      </c>
      <c r="H30" s="3" t="s">
        <v>218</v>
      </c>
      <c r="I30" s="3" t="s">
        <v>49</v>
      </c>
      <c r="J30" s="3" t="s">
        <v>40</v>
      </c>
      <c r="K30" s="3" t="s">
        <v>41</v>
      </c>
      <c r="L30" s="3" t="s">
        <v>4</v>
      </c>
      <c r="M30" s="3" t="s">
        <v>195</v>
      </c>
    </row>
    <row r="31" customFormat="false" ht="35.05" hidden="false" customHeight="false" outlineLevel="0" collapsed="false">
      <c r="A31" s="10" t="s">
        <v>219</v>
      </c>
      <c r="B31" s="5" t="s">
        <v>220</v>
      </c>
      <c r="C31" s="5" t="s">
        <v>10</v>
      </c>
      <c r="D31" s="5" t="s">
        <v>221</v>
      </c>
      <c r="E31" s="5" t="s">
        <v>113</v>
      </c>
      <c r="F31" s="5" t="s">
        <v>222</v>
      </c>
      <c r="G31" s="5" t="s">
        <v>223</v>
      </c>
      <c r="H31" s="5" t="s">
        <v>224</v>
      </c>
      <c r="I31" s="5" t="s">
        <v>49</v>
      </c>
      <c r="J31" s="5" t="s">
        <v>40</v>
      </c>
      <c r="K31" s="5" t="s">
        <v>41</v>
      </c>
      <c r="L31" s="5" t="s">
        <v>4</v>
      </c>
      <c r="M31" s="5" t="s">
        <v>195</v>
      </c>
    </row>
    <row r="32" customFormat="false" ht="23.85" hidden="false" customHeight="false" outlineLevel="0" collapsed="false">
      <c r="A32" s="9" t="s">
        <v>225</v>
      </c>
      <c r="B32" s="3" t="s">
        <v>226</v>
      </c>
      <c r="C32" s="3" t="s">
        <v>11</v>
      </c>
      <c r="D32" s="3" t="s">
        <v>227</v>
      </c>
      <c r="E32" s="3" t="s">
        <v>72</v>
      </c>
      <c r="F32" s="3" t="s">
        <v>228</v>
      </c>
      <c r="G32" s="3" t="s">
        <v>89</v>
      </c>
      <c r="H32" s="3" t="s">
        <v>229</v>
      </c>
      <c r="I32" s="3" t="s">
        <v>76</v>
      </c>
      <c r="J32" s="3" t="s">
        <v>77</v>
      </c>
      <c r="K32" s="3" t="s">
        <v>41</v>
      </c>
      <c r="L32" s="3" t="s">
        <v>4</v>
      </c>
      <c r="M32" s="3" t="s">
        <v>230</v>
      </c>
    </row>
    <row r="33" customFormat="false" ht="23.85" hidden="false" customHeight="false" outlineLevel="0" collapsed="false">
      <c r="A33" s="10" t="s">
        <v>231</v>
      </c>
      <c r="B33" s="5" t="s">
        <v>232</v>
      </c>
      <c r="C33" s="5" t="s">
        <v>11</v>
      </c>
      <c r="D33" s="5" t="s">
        <v>233</v>
      </c>
      <c r="E33" s="5" t="s">
        <v>113</v>
      </c>
      <c r="F33" s="5" t="s">
        <v>234</v>
      </c>
      <c r="G33" s="5" t="s">
        <v>235</v>
      </c>
      <c r="H33" s="5" t="s">
        <v>236</v>
      </c>
      <c r="I33" s="5" t="s">
        <v>49</v>
      </c>
      <c r="J33" s="5" t="s">
        <v>40</v>
      </c>
      <c r="K33" s="5" t="s">
        <v>41</v>
      </c>
      <c r="L33" s="5" t="s">
        <v>4</v>
      </c>
      <c r="M33" s="5" t="s">
        <v>230</v>
      </c>
    </row>
    <row r="34" customFormat="false" ht="23.85" hidden="false" customHeight="false" outlineLevel="0" collapsed="false">
      <c r="A34" s="9" t="s">
        <v>237</v>
      </c>
      <c r="B34" s="3" t="s">
        <v>238</v>
      </c>
      <c r="C34" s="3" t="s">
        <v>11</v>
      </c>
      <c r="D34" s="3" t="s">
        <v>239</v>
      </c>
      <c r="E34" s="3" t="s">
        <v>113</v>
      </c>
      <c r="F34" s="3" t="s">
        <v>240</v>
      </c>
      <c r="G34" s="3" t="s">
        <v>241</v>
      </c>
      <c r="H34" s="3" t="s">
        <v>236</v>
      </c>
      <c r="I34" s="3" t="s">
        <v>49</v>
      </c>
      <c r="J34" s="3" t="s">
        <v>40</v>
      </c>
      <c r="K34" s="3" t="s">
        <v>41</v>
      </c>
      <c r="L34" s="3" t="s">
        <v>4</v>
      </c>
      <c r="M34" s="3" t="s">
        <v>230</v>
      </c>
    </row>
    <row r="35" customFormat="false" ht="23.85" hidden="false" customHeight="false" outlineLevel="0" collapsed="false">
      <c r="A35" s="10" t="s">
        <v>242</v>
      </c>
      <c r="B35" s="5" t="s">
        <v>243</v>
      </c>
      <c r="C35" s="5" t="s">
        <v>11</v>
      </c>
      <c r="D35" s="5" t="s">
        <v>244</v>
      </c>
      <c r="E35" s="5" t="s">
        <v>113</v>
      </c>
      <c r="F35" s="5" t="s">
        <v>245</v>
      </c>
      <c r="G35" s="5" t="s">
        <v>246</v>
      </c>
      <c r="H35" s="5" t="s">
        <v>247</v>
      </c>
      <c r="I35" s="5" t="s">
        <v>49</v>
      </c>
      <c r="J35" s="5" t="s">
        <v>40</v>
      </c>
      <c r="K35" s="5" t="s">
        <v>41</v>
      </c>
      <c r="L35" s="5" t="s">
        <v>4</v>
      </c>
      <c r="M35" s="5" t="s">
        <v>230</v>
      </c>
    </row>
    <row r="36" customFormat="false" ht="35.05" hidden="false" customHeight="false" outlineLevel="0" collapsed="false">
      <c r="A36" s="9" t="s">
        <v>248</v>
      </c>
      <c r="B36" s="3" t="s">
        <v>249</v>
      </c>
      <c r="C36" s="3" t="s">
        <v>11</v>
      </c>
      <c r="D36" s="3" t="s">
        <v>250</v>
      </c>
      <c r="E36" s="3" t="s">
        <v>113</v>
      </c>
      <c r="F36" s="3" t="s">
        <v>251</v>
      </c>
      <c r="G36" s="3" t="s">
        <v>252</v>
      </c>
      <c r="H36" s="3" t="s">
        <v>253</v>
      </c>
      <c r="I36" s="3" t="s">
        <v>49</v>
      </c>
      <c r="J36" s="3" t="s">
        <v>40</v>
      </c>
      <c r="K36" s="3" t="s">
        <v>41</v>
      </c>
      <c r="L36" s="3" t="s">
        <v>4</v>
      </c>
      <c r="M36" s="3" t="s">
        <v>230</v>
      </c>
    </row>
    <row r="37" customFormat="false" ht="23.85" hidden="false" customHeight="false" outlineLevel="0" collapsed="false">
      <c r="A37" s="10" t="s">
        <v>254</v>
      </c>
      <c r="B37" s="5" t="s">
        <v>255</v>
      </c>
      <c r="C37" s="5" t="s">
        <v>11</v>
      </c>
      <c r="D37" s="5" t="s">
        <v>256</v>
      </c>
      <c r="E37" s="5" t="s">
        <v>113</v>
      </c>
      <c r="F37" s="5" t="s">
        <v>257</v>
      </c>
      <c r="G37" s="5" t="s">
        <v>258</v>
      </c>
      <c r="H37" s="5" t="s">
        <v>259</v>
      </c>
      <c r="I37" s="5" t="s">
        <v>49</v>
      </c>
      <c r="J37" s="5" t="s">
        <v>40</v>
      </c>
      <c r="K37" s="5" t="s">
        <v>41</v>
      </c>
      <c r="L37" s="5" t="s">
        <v>4</v>
      </c>
      <c r="M37" s="5" t="s">
        <v>230</v>
      </c>
    </row>
    <row r="38" customFormat="false" ht="23.85" hidden="false" customHeight="false" outlineLevel="0" collapsed="false">
      <c r="A38" s="9" t="s">
        <v>260</v>
      </c>
      <c r="B38" s="3" t="s">
        <v>261</v>
      </c>
      <c r="C38" s="3" t="s">
        <v>12</v>
      </c>
      <c r="D38" s="3" t="s">
        <v>262</v>
      </c>
      <c r="E38" s="3" t="s">
        <v>113</v>
      </c>
      <c r="F38" s="3" t="s">
        <v>263</v>
      </c>
      <c r="G38" s="3" t="s">
        <v>264</v>
      </c>
      <c r="H38" s="3" t="s">
        <v>265</v>
      </c>
      <c r="I38" s="3" t="s">
        <v>49</v>
      </c>
      <c r="J38" s="3" t="s">
        <v>40</v>
      </c>
      <c r="K38" s="3" t="s">
        <v>41</v>
      </c>
      <c r="L38" s="3" t="s">
        <v>4</v>
      </c>
      <c r="M38" s="3" t="s">
        <v>266</v>
      </c>
    </row>
    <row r="39" customFormat="false" ht="23.85" hidden="false" customHeight="false" outlineLevel="0" collapsed="false">
      <c r="A39" s="10" t="s">
        <v>267</v>
      </c>
      <c r="B39" s="5" t="s">
        <v>268</v>
      </c>
      <c r="C39" s="5" t="s">
        <v>12</v>
      </c>
      <c r="D39" s="5" t="s">
        <v>269</v>
      </c>
      <c r="E39" s="5" t="s">
        <v>113</v>
      </c>
      <c r="F39" s="5" t="s">
        <v>270</v>
      </c>
      <c r="G39" s="5" t="s">
        <v>271</v>
      </c>
      <c r="H39" s="5" t="s">
        <v>272</v>
      </c>
      <c r="I39" s="5" t="s">
        <v>49</v>
      </c>
      <c r="J39" s="5" t="s">
        <v>40</v>
      </c>
      <c r="K39" s="5" t="s">
        <v>41</v>
      </c>
      <c r="L39" s="5" t="s">
        <v>4</v>
      </c>
      <c r="M39" s="5" t="s">
        <v>266</v>
      </c>
    </row>
    <row r="40" customFormat="false" ht="23.85" hidden="false" customHeight="false" outlineLevel="0" collapsed="false">
      <c r="A40" s="9" t="s">
        <v>273</v>
      </c>
      <c r="B40" s="3" t="s">
        <v>274</v>
      </c>
      <c r="C40" s="3" t="s">
        <v>12</v>
      </c>
      <c r="D40" s="3" t="s">
        <v>275</v>
      </c>
      <c r="E40" s="3" t="s">
        <v>276</v>
      </c>
      <c r="F40" s="3" t="s">
        <v>277</v>
      </c>
      <c r="G40" s="3" t="s">
        <v>278</v>
      </c>
      <c r="H40" s="3" t="s">
        <v>279</v>
      </c>
      <c r="I40" s="3" t="s">
        <v>49</v>
      </c>
      <c r="J40" s="3" t="s">
        <v>40</v>
      </c>
      <c r="K40" s="3" t="s">
        <v>41</v>
      </c>
      <c r="L40" s="3" t="s">
        <v>4</v>
      </c>
      <c r="M40" s="3" t="s">
        <v>266</v>
      </c>
    </row>
    <row r="41" customFormat="false" ht="23.85" hidden="false" customHeight="false" outlineLevel="0" collapsed="false">
      <c r="A41" s="10" t="s">
        <v>280</v>
      </c>
      <c r="B41" s="5" t="s">
        <v>281</v>
      </c>
      <c r="C41" s="5" t="s">
        <v>12</v>
      </c>
      <c r="D41" s="5" t="s">
        <v>282</v>
      </c>
      <c r="E41" s="5" t="s">
        <v>113</v>
      </c>
      <c r="F41" s="5" t="s">
        <v>283</v>
      </c>
      <c r="G41" s="5" t="s">
        <v>284</v>
      </c>
      <c r="H41" s="5" t="s">
        <v>285</v>
      </c>
      <c r="I41" s="5" t="s">
        <v>49</v>
      </c>
      <c r="J41" s="5" t="s">
        <v>40</v>
      </c>
      <c r="K41" s="5" t="s">
        <v>41</v>
      </c>
      <c r="L41" s="5" t="s">
        <v>4</v>
      </c>
      <c r="M41" s="5" t="s">
        <v>266</v>
      </c>
    </row>
    <row r="42" customFormat="false" ht="23.85" hidden="false" customHeight="false" outlineLevel="0" collapsed="false">
      <c r="A42" s="9" t="s">
        <v>286</v>
      </c>
      <c r="B42" s="3" t="s">
        <v>287</v>
      </c>
      <c r="C42" s="3" t="s">
        <v>12</v>
      </c>
      <c r="D42" s="3" t="s">
        <v>288</v>
      </c>
      <c r="E42" s="3" t="s">
        <v>113</v>
      </c>
      <c r="F42" s="3" t="s">
        <v>289</v>
      </c>
      <c r="G42" s="3" t="s">
        <v>290</v>
      </c>
      <c r="H42" s="3" t="s">
        <v>291</v>
      </c>
      <c r="I42" s="3" t="s">
        <v>76</v>
      </c>
      <c r="J42" s="3" t="s">
        <v>77</v>
      </c>
      <c r="K42" s="3" t="s">
        <v>41</v>
      </c>
      <c r="L42" s="3" t="s">
        <v>4</v>
      </c>
      <c r="M42" s="3" t="s">
        <v>266</v>
      </c>
    </row>
    <row r="43" customFormat="false" ht="23.85" hidden="false" customHeight="false" outlineLevel="0" collapsed="false">
      <c r="A43" s="10" t="s">
        <v>292</v>
      </c>
      <c r="B43" s="5" t="s">
        <v>293</v>
      </c>
      <c r="C43" s="5" t="s">
        <v>13</v>
      </c>
      <c r="D43" s="5" t="s">
        <v>294</v>
      </c>
      <c r="E43" s="5" t="s">
        <v>113</v>
      </c>
      <c r="F43" s="5" t="s">
        <v>295</v>
      </c>
      <c r="G43" s="5" t="s">
        <v>296</v>
      </c>
      <c r="H43" s="5" t="s">
        <v>297</v>
      </c>
      <c r="I43" s="5" t="s">
        <v>49</v>
      </c>
      <c r="J43" s="5" t="s">
        <v>40</v>
      </c>
      <c r="K43" s="5" t="s">
        <v>41</v>
      </c>
      <c r="L43" s="5" t="s">
        <v>4</v>
      </c>
      <c r="M43" s="5" t="s">
        <v>298</v>
      </c>
    </row>
    <row r="44" customFormat="false" ht="23.85" hidden="false" customHeight="false" outlineLevel="0" collapsed="false">
      <c r="A44" s="9" t="s">
        <v>299</v>
      </c>
      <c r="B44" s="3" t="s">
        <v>300</v>
      </c>
      <c r="C44" s="3" t="s">
        <v>13</v>
      </c>
      <c r="D44" s="3" t="s">
        <v>301</v>
      </c>
      <c r="E44" s="3" t="s">
        <v>113</v>
      </c>
      <c r="F44" s="3" t="s">
        <v>302</v>
      </c>
      <c r="G44" s="3" t="s">
        <v>303</v>
      </c>
      <c r="H44" s="3" t="s">
        <v>304</v>
      </c>
      <c r="I44" s="3" t="s">
        <v>49</v>
      </c>
      <c r="J44" s="3" t="s">
        <v>40</v>
      </c>
      <c r="K44" s="3" t="s">
        <v>41</v>
      </c>
      <c r="L44" s="3" t="s">
        <v>4</v>
      </c>
      <c r="M44" s="3" t="s">
        <v>298</v>
      </c>
    </row>
    <row r="45" customFormat="false" ht="23.85" hidden="false" customHeight="false" outlineLevel="0" collapsed="false">
      <c r="A45" s="10" t="s">
        <v>305</v>
      </c>
      <c r="B45" s="5" t="s">
        <v>306</v>
      </c>
      <c r="C45" s="5" t="s">
        <v>13</v>
      </c>
      <c r="D45" s="5" t="s">
        <v>307</v>
      </c>
      <c r="E45" s="5" t="s">
        <v>113</v>
      </c>
      <c r="F45" s="5" t="s">
        <v>308</v>
      </c>
      <c r="G45" s="5" t="s">
        <v>309</v>
      </c>
      <c r="H45" s="5" t="s">
        <v>310</v>
      </c>
      <c r="I45" s="5" t="s">
        <v>49</v>
      </c>
      <c r="J45" s="5" t="s">
        <v>40</v>
      </c>
      <c r="K45" s="5" t="s">
        <v>41</v>
      </c>
      <c r="L45" s="5" t="s">
        <v>4</v>
      </c>
      <c r="M45" s="5" t="s">
        <v>298</v>
      </c>
    </row>
    <row r="46" customFormat="false" ht="23.85" hidden="false" customHeight="false" outlineLevel="0" collapsed="false">
      <c r="A46" s="9" t="s">
        <v>311</v>
      </c>
      <c r="B46" s="3" t="s">
        <v>312</v>
      </c>
      <c r="C46" s="3" t="s">
        <v>13</v>
      </c>
      <c r="D46" s="3" t="s">
        <v>313</v>
      </c>
      <c r="E46" s="3" t="s">
        <v>113</v>
      </c>
      <c r="F46" s="3" t="s">
        <v>314</v>
      </c>
      <c r="G46" s="3" t="s">
        <v>315</v>
      </c>
      <c r="H46" s="3" t="s">
        <v>316</v>
      </c>
      <c r="I46" s="3" t="s">
        <v>49</v>
      </c>
      <c r="J46" s="3" t="s">
        <v>40</v>
      </c>
      <c r="K46" s="3" t="s">
        <v>41</v>
      </c>
      <c r="L46" s="3" t="s">
        <v>4</v>
      </c>
      <c r="M46" s="3" t="s">
        <v>298</v>
      </c>
    </row>
    <row r="47" customFormat="false" ht="23.85" hidden="false" customHeight="false" outlineLevel="0" collapsed="false">
      <c r="A47" s="10" t="s">
        <v>317</v>
      </c>
      <c r="B47" s="5" t="s">
        <v>318</v>
      </c>
      <c r="C47" s="5" t="s">
        <v>13</v>
      </c>
      <c r="D47" s="5" t="s">
        <v>319</v>
      </c>
      <c r="E47" s="5" t="s">
        <v>113</v>
      </c>
      <c r="F47" s="5" t="s">
        <v>320</v>
      </c>
      <c r="G47" s="5" t="s">
        <v>321</v>
      </c>
      <c r="H47" s="5" t="s">
        <v>322</v>
      </c>
      <c r="I47" s="5" t="s">
        <v>76</v>
      </c>
      <c r="J47" s="5" t="s">
        <v>77</v>
      </c>
      <c r="K47" s="5" t="s">
        <v>41</v>
      </c>
      <c r="L47" s="5" t="s">
        <v>4</v>
      </c>
      <c r="M47" s="5" t="s">
        <v>298</v>
      </c>
    </row>
    <row r="48" customFormat="false" ht="23.85" hidden="false" customHeight="false" outlineLevel="0" collapsed="false">
      <c r="A48" s="9" t="s">
        <v>323</v>
      </c>
      <c r="B48" s="3" t="s">
        <v>324</v>
      </c>
      <c r="C48" s="3" t="s">
        <v>13</v>
      </c>
      <c r="D48" s="3" t="s">
        <v>325</v>
      </c>
      <c r="E48" s="3" t="s">
        <v>113</v>
      </c>
      <c r="F48" s="3" t="s">
        <v>326</v>
      </c>
      <c r="G48" s="3" t="s">
        <v>327</v>
      </c>
      <c r="H48" s="3" t="s">
        <v>328</v>
      </c>
      <c r="I48" s="3" t="s">
        <v>76</v>
      </c>
      <c r="J48" s="3" t="s">
        <v>77</v>
      </c>
      <c r="K48" s="3" t="s">
        <v>41</v>
      </c>
      <c r="L48" s="3" t="s">
        <v>4</v>
      </c>
      <c r="M48" s="3" t="s">
        <v>298</v>
      </c>
    </row>
    <row r="49" customFormat="false" ht="23.85" hidden="false" customHeight="false" outlineLevel="0" collapsed="false">
      <c r="A49" s="10" t="s">
        <v>329</v>
      </c>
      <c r="B49" s="5" t="s">
        <v>330</v>
      </c>
      <c r="C49" s="5" t="s">
        <v>13</v>
      </c>
      <c r="D49" s="5" t="s">
        <v>331</v>
      </c>
      <c r="E49" s="5" t="s">
        <v>113</v>
      </c>
      <c r="F49" s="5" t="s">
        <v>332</v>
      </c>
      <c r="G49" s="5" t="s">
        <v>333</v>
      </c>
      <c r="H49" s="5" t="s">
        <v>334</v>
      </c>
      <c r="I49" s="5" t="s">
        <v>49</v>
      </c>
      <c r="J49" s="5" t="s">
        <v>40</v>
      </c>
      <c r="K49" s="5" t="s">
        <v>41</v>
      </c>
      <c r="L49" s="5" t="s">
        <v>4</v>
      </c>
      <c r="M49" s="5" t="s">
        <v>298</v>
      </c>
    </row>
    <row r="50" customFormat="false" ht="23.85" hidden="false" customHeight="false" outlineLevel="0" collapsed="false">
      <c r="A50" s="9" t="s">
        <v>335</v>
      </c>
      <c r="B50" s="3" t="s">
        <v>336</v>
      </c>
      <c r="C50" s="3" t="s">
        <v>14</v>
      </c>
      <c r="D50" s="3" t="s">
        <v>337</v>
      </c>
      <c r="E50" s="3" t="s">
        <v>113</v>
      </c>
      <c r="F50" s="3" t="s">
        <v>338</v>
      </c>
      <c r="G50" s="3" t="s">
        <v>339</v>
      </c>
      <c r="H50" s="3" t="s">
        <v>340</v>
      </c>
      <c r="I50" s="3" t="s">
        <v>49</v>
      </c>
      <c r="J50" s="3" t="s">
        <v>40</v>
      </c>
      <c r="K50" s="3" t="s">
        <v>41</v>
      </c>
      <c r="L50" s="3" t="s">
        <v>4</v>
      </c>
      <c r="M50" s="3" t="s">
        <v>341</v>
      </c>
    </row>
    <row r="51" customFormat="false" ht="23.85" hidden="false" customHeight="false" outlineLevel="0" collapsed="false">
      <c r="A51" s="10" t="s">
        <v>342</v>
      </c>
      <c r="B51" s="5" t="s">
        <v>343</v>
      </c>
      <c r="C51" s="5" t="s">
        <v>14</v>
      </c>
      <c r="D51" s="5" t="s">
        <v>344</v>
      </c>
      <c r="E51" s="5" t="s">
        <v>113</v>
      </c>
      <c r="F51" s="5" t="s">
        <v>345</v>
      </c>
      <c r="G51" s="5" t="s">
        <v>346</v>
      </c>
      <c r="H51" s="5" t="s">
        <v>347</v>
      </c>
      <c r="I51" s="5" t="s">
        <v>49</v>
      </c>
      <c r="J51" s="5" t="s">
        <v>40</v>
      </c>
      <c r="K51" s="5" t="s">
        <v>41</v>
      </c>
      <c r="L51" s="5" t="s">
        <v>4</v>
      </c>
      <c r="M51" s="5" t="s">
        <v>341</v>
      </c>
    </row>
    <row r="52" customFormat="false" ht="35.05" hidden="false" customHeight="false" outlineLevel="0" collapsed="false">
      <c r="A52" s="9" t="s">
        <v>348</v>
      </c>
      <c r="B52" s="3" t="s">
        <v>349</v>
      </c>
      <c r="C52" s="3" t="s">
        <v>14</v>
      </c>
      <c r="D52" s="3" t="s">
        <v>350</v>
      </c>
      <c r="E52" s="3" t="s">
        <v>351</v>
      </c>
      <c r="F52" s="3" t="s">
        <v>352</v>
      </c>
      <c r="G52" s="3" t="s">
        <v>353</v>
      </c>
      <c r="H52" s="3" t="s">
        <v>354</v>
      </c>
      <c r="I52" s="3" t="s">
        <v>49</v>
      </c>
      <c r="J52" s="3" t="s">
        <v>40</v>
      </c>
      <c r="K52" s="3" t="s">
        <v>41</v>
      </c>
      <c r="L52" s="3" t="s">
        <v>4</v>
      </c>
      <c r="M52" s="3" t="s">
        <v>355</v>
      </c>
    </row>
    <row r="53" customFormat="false" ht="23.85" hidden="false" customHeight="false" outlineLevel="0" collapsed="false">
      <c r="A53" s="10" t="s">
        <v>356</v>
      </c>
      <c r="B53" s="5" t="s">
        <v>357</v>
      </c>
      <c r="C53" s="5" t="s">
        <v>14</v>
      </c>
      <c r="D53" s="5" t="s">
        <v>358</v>
      </c>
      <c r="E53" s="5" t="s">
        <v>113</v>
      </c>
      <c r="F53" s="5" t="s">
        <v>359</v>
      </c>
      <c r="G53" s="5" t="s">
        <v>360</v>
      </c>
      <c r="H53" s="5" t="s">
        <v>361</v>
      </c>
      <c r="I53" s="5" t="s">
        <v>39</v>
      </c>
      <c r="J53" s="5" t="s">
        <v>40</v>
      </c>
      <c r="K53" s="5" t="s">
        <v>41</v>
      </c>
      <c r="L53" s="5" t="s">
        <v>4</v>
      </c>
      <c r="M53" s="5" t="s">
        <v>355</v>
      </c>
    </row>
    <row r="54" customFormat="false" ht="23.85" hidden="false" customHeight="false" outlineLevel="0" collapsed="false">
      <c r="A54" s="9" t="s">
        <v>362</v>
      </c>
      <c r="B54" s="3" t="s">
        <v>363</v>
      </c>
      <c r="C54" s="3" t="s">
        <v>14</v>
      </c>
      <c r="D54" s="3" t="s">
        <v>364</v>
      </c>
      <c r="E54" s="3" t="s">
        <v>113</v>
      </c>
      <c r="F54" s="3" t="s">
        <v>365</v>
      </c>
      <c r="G54" s="3" t="s">
        <v>353</v>
      </c>
      <c r="H54" s="3" t="s">
        <v>366</v>
      </c>
      <c r="I54" s="3" t="s">
        <v>76</v>
      </c>
      <c r="J54" s="3" t="s">
        <v>77</v>
      </c>
      <c r="K54" s="3" t="s">
        <v>41</v>
      </c>
      <c r="L54" s="3" t="s">
        <v>4</v>
      </c>
      <c r="M54" s="3" t="s">
        <v>341</v>
      </c>
    </row>
    <row r="55" customFormat="false" ht="35.05" hidden="false" customHeight="false" outlineLevel="0" collapsed="false">
      <c r="A55" s="10" t="s">
        <v>367</v>
      </c>
      <c r="B55" s="5" t="s">
        <v>368</v>
      </c>
      <c r="C55" s="5" t="s">
        <v>15</v>
      </c>
      <c r="D55" s="5" t="s">
        <v>369</v>
      </c>
      <c r="E55" s="5" t="s">
        <v>113</v>
      </c>
      <c r="F55" s="5" t="s">
        <v>370</v>
      </c>
      <c r="G55" s="5" t="s">
        <v>371</v>
      </c>
      <c r="H55" s="5" t="s">
        <v>372</v>
      </c>
      <c r="I55" s="5" t="s">
        <v>39</v>
      </c>
      <c r="J55" s="5" t="s">
        <v>40</v>
      </c>
      <c r="K55" s="5" t="s">
        <v>373</v>
      </c>
      <c r="L55" s="5" t="s">
        <v>4</v>
      </c>
      <c r="M55" s="5" t="s">
        <v>374</v>
      </c>
    </row>
    <row r="56" customFormat="false" ht="35.05" hidden="false" customHeight="false" outlineLevel="0" collapsed="false">
      <c r="A56" s="9" t="s">
        <v>375</v>
      </c>
      <c r="B56" s="3" t="s">
        <v>376</v>
      </c>
      <c r="C56" s="3" t="s">
        <v>15</v>
      </c>
      <c r="D56" s="3" t="s">
        <v>377</v>
      </c>
      <c r="E56" s="3" t="s">
        <v>113</v>
      </c>
      <c r="F56" s="3" t="s">
        <v>378</v>
      </c>
      <c r="G56" s="3" t="s">
        <v>379</v>
      </c>
      <c r="H56" s="3" t="s">
        <v>380</v>
      </c>
      <c r="I56" s="3" t="s">
        <v>49</v>
      </c>
      <c r="J56" s="3" t="s">
        <v>40</v>
      </c>
      <c r="K56" s="3" t="s">
        <v>41</v>
      </c>
      <c r="L56" s="3" t="s">
        <v>4</v>
      </c>
      <c r="M56" s="3" t="s">
        <v>381</v>
      </c>
    </row>
    <row r="57" customFormat="false" ht="23.85" hidden="false" customHeight="false" outlineLevel="0" collapsed="false">
      <c r="A57" s="10" t="s">
        <v>382</v>
      </c>
      <c r="B57" s="5" t="s">
        <v>383</v>
      </c>
      <c r="C57" s="5" t="s">
        <v>15</v>
      </c>
      <c r="D57" s="5" t="s">
        <v>384</v>
      </c>
      <c r="E57" s="5" t="s">
        <v>385</v>
      </c>
      <c r="F57" s="5" t="s">
        <v>386</v>
      </c>
      <c r="G57" s="5" t="s">
        <v>387</v>
      </c>
      <c r="H57" s="5" t="s">
        <v>388</v>
      </c>
      <c r="I57" s="5" t="s">
        <v>49</v>
      </c>
      <c r="J57" s="5" t="s">
        <v>40</v>
      </c>
      <c r="K57" s="5" t="s">
        <v>41</v>
      </c>
      <c r="L57" s="5" t="s">
        <v>4</v>
      </c>
      <c r="M57" s="5" t="s">
        <v>381</v>
      </c>
    </row>
    <row r="58" customFormat="false" ht="15" hidden="false" customHeight="false" outlineLevel="0" collapsed="false">
      <c r="A58" s="9" t="s">
        <v>389</v>
      </c>
      <c r="B58" s="3" t="s">
        <v>390</v>
      </c>
      <c r="C58" s="3" t="s">
        <v>15</v>
      </c>
      <c r="D58" s="3" t="s">
        <v>391</v>
      </c>
      <c r="E58" s="3" t="s">
        <v>392</v>
      </c>
      <c r="F58" s="3" t="s">
        <v>393</v>
      </c>
      <c r="G58" s="3" t="s">
        <v>89</v>
      </c>
      <c r="H58" s="3" t="s">
        <v>394</v>
      </c>
      <c r="I58" s="3" t="s">
        <v>49</v>
      </c>
      <c r="J58" s="3" t="s">
        <v>40</v>
      </c>
      <c r="K58" s="3" t="s">
        <v>41</v>
      </c>
      <c r="L58" s="3" t="s">
        <v>4</v>
      </c>
      <c r="M58" s="3" t="s">
        <v>381</v>
      </c>
    </row>
    <row r="59" customFormat="false" ht="23.85" hidden="false" customHeight="false" outlineLevel="0" collapsed="false">
      <c r="A59" s="10" t="s">
        <v>395</v>
      </c>
      <c r="B59" s="5" t="s">
        <v>396</v>
      </c>
      <c r="C59" s="5" t="s">
        <v>15</v>
      </c>
      <c r="D59" s="5" t="s">
        <v>397</v>
      </c>
      <c r="E59" s="5" t="s">
        <v>385</v>
      </c>
      <c r="F59" s="5" t="s">
        <v>398</v>
      </c>
      <c r="G59" s="5" t="s">
        <v>387</v>
      </c>
      <c r="H59" s="5" t="s">
        <v>399</v>
      </c>
      <c r="I59" s="5" t="s">
        <v>76</v>
      </c>
      <c r="J59" s="5" t="s">
        <v>77</v>
      </c>
      <c r="K59" s="5" t="s">
        <v>41</v>
      </c>
      <c r="L59" s="5" t="s">
        <v>4</v>
      </c>
      <c r="M59" s="5" t="s">
        <v>381</v>
      </c>
    </row>
    <row r="60" customFormat="false" ht="15" hidden="false" customHeight="false" outlineLevel="0" collapsed="false">
      <c r="A60" s="9" t="s">
        <v>400</v>
      </c>
      <c r="B60" s="3" t="s">
        <v>401</v>
      </c>
      <c r="C60" s="3" t="s">
        <v>16</v>
      </c>
      <c r="D60" s="3" t="s">
        <v>402</v>
      </c>
      <c r="E60" s="3" t="s">
        <v>403</v>
      </c>
      <c r="F60" s="3" t="s">
        <v>404</v>
      </c>
      <c r="G60" s="3" t="s">
        <v>89</v>
      </c>
      <c r="H60" s="3" t="s">
        <v>405</v>
      </c>
      <c r="I60" s="3" t="s">
        <v>76</v>
      </c>
      <c r="J60" s="3" t="s">
        <v>40</v>
      </c>
      <c r="K60" s="3" t="s">
        <v>406</v>
      </c>
      <c r="L60" s="3" t="s">
        <v>4</v>
      </c>
      <c r="M60" s="3" t="s">
        <v>407</v>
      </c>
    </row>
    <row r="61" customFormat="false" ht="15" hidden="false" customHeight="false" outlineLevel="0" collapsed="false">
      <c r="A61" s="10" t="s">
        <v>408</v>
      </c>
      <c r="B61" s="5" t="s">
        <v>409</v>
      </c>
      <c r="C61" s="5" t="s">
        <v>16</v>
      </c>
      <c r="D61" s="5" t="s">
        <v>410</v>
      </c>
      <c r="E61" s="5" t="s">
        <v>411</v>
      </c>
      <c r="F61" s="5" t="s">
        <v>412</v>
      </c>
      <c r="G61" s="5" t="s">
        <v>89</v>
      </c>
      <c r="H61" s="5" t="s">
        <v>413</v>
      </c>
      <c r="I61" s="5" t="s">
        <v>39</v>
      </c>
      <c r="J61" s="5" t="s">
        <v>40</v>
      </c>
      <c r="K61" s="5" t="s">
        <v>406</v>
      </c>
      <c r="L61" s="5" t="s">
        <v>4</v>
      </c>
      <c r="M61" s="5" t="s">
        <v>407</v>
      </c>
    </row>
    <row r="62" customFormat="false" ht="23.85" hidden="false" customHeight="false" outlineLevel="0" collapsed="false">
      <c r="A62" s="9" t="s">
        <v>414</v>
      </c>
      <c r="B62" s="3" t="s">
        <v>415</v>
      </c>
      <c r="C62" s="3" t="s">
        <v>16</v>
      </c>
      <c r="D62" s="3" t="s">
        <v>416</v>
      </c>
      <c r="E62" s="3" t="s">
        <v>411</v>
      </c>
      <c r="F62" s="3" t="s">
        <v>417</v>
      </c>
      <c r="G62" s="3" t="s">
        <v>418</v>
      </c>
      <c r="H62" s="3" t="s">
        <v>419</v>
      </c>
      <c r="I62" s="3" t="s">
        <v>49</v>
      </c>
      <c r="J62" s="3" t="s">
        <v>40</v>
      </c>
      <c r="K62" s="3" t="s">
        <v>406</v>
      </c>
      <c r="L62" s="3" t="s">
        <v>4</v>
      </c>
      <c r="M62" s="3" t="s">
        <v>407</v>
      </c>
    </row>
    <row r="63" customFormat="false" ht="23.85" hidden="false" customHeight="false" outlineLevel="0" collapsed="false">
      <c r="A63" s="10" t="s">
        <v>420</v>
      </c>
      <c r="B63" s="5" t="s">
        <v>421</v>
      </c>
      <c r="C63" s="5" t="s">
        <v>16</v>
      </c>
      <c r="D63" s="5" t="s">
        <v>422</v>
      </c>
      <c r="E63" s="5" t="s">
        <v>72</v>
      </c>
      <c r="F63" s="5" t="s">
        <v>423</v>
      </c>
      <c r="G63" s="5" t="s">
        <v>424</v>
      </c>
      <c r="H63" s="5" t="s">
        <v>425</v>
      </c>
      <c r="I63" s="5" t="s">
        <v>49</v>
      </c>
      <c r="J63" s="5" t="s">
        <v>77</v>
      </c>
      <c r="K63" s="5" t="s">
        <v>406</v>
      </c>
      <c r="L63" s="5" t="s">
        <v>4</v>
      </c>
      <c r="M63" s="5" t="s">
        <v>407</v>
      </c>
    </row>
    <row r="64" customFormat="false" ht="23.85" hidden="false" customHeight="false" outlineLevel="0" collapsed="false">
      <c r="A64" s="9" t="s">
        <v>426</v>
      </c>
      <c r="B64" s="3" t="s">
        <v>427</v>
      </c>
      <c r="C64" s="3" t="s">
        <v>16</v>
      </c>
      <c r="D64" s="3" t="s">
        <v>428</v>
      </c>
      <c r="E64" s="3" t="s">
        <v>113</v>
      </c>
      <c r="F64" s="3" t="s">
        <v>429</v>
      </c>
      <c r="G64" s="3" t="s">
        <v>430</v>
      </c>
      <c r="H64" s="3" t="s">
        <v>431</v>
      </c>
      <c r="I64" s="3" t="s">
        <v>49</v>
      </c>
      <c r="J64" s="3" t="s">
        <v>40</v>
      </c>
      <c r="K64" s="3" t="s">
        <v>406</v>
      </c>
      <c r="L64" s="3" t="s">
        <v>4</v>
      </c>
      <c r="M64" s="3" t="s">
        <v>407</v>
      </c>
    </row>
    <row r="65" customFormat="false" ht="23.85" hidden="false" customHeight="false" outlineLevel="0" collapsed="false">
      <c r="A65" s="10" t="s">
        <v>432</v>
      </c>
      <c r="B65" s="5" t="s">
        <v>433</v>
      </c>
      <c r="C65" s="5" t="s">
        <v>16</v>
      </c>
      <c r="D65" s="5" t="s">
        <v>434</v>
      </c>
      <c r="E65" s="5" t="s">
        <v>113</v>
      </c>
      <c r="F65" s="5" t="s">
        <v>435</v>
      </c>
      <c r="G65" s="5" t="s">
        <v>436</v>
      </c>
      <c r="H65" s="5" t="s">
        <v>437</v>
      </c>
      <c r="I65" s="5" t="s">
        <v>49</v>
      </c>
      <c r="J65" s="5" t="s">
        <v>40</v>
      </c>
      <c r="K65" s="5" t="s">
        <v>406</v>
      </c>
      <c r="L65" s="5" t="s">
        <v>4</v>
      </c>
      <c r="M65" s="5" t="s">
        <v>407</v>
      </c>
    </row>
    <row r="66" customFormat="false" ht="23.85" hidden="false" customHeight="false" outlineLevel="0" collapsed="false">
      <c r="A66" s="9" t="s">
        <v>438</v>
      </c>
      <c r="B66" s="3" t="s">
        <v>439</v>
      </c>
      <c r="C66" s="3" t="s">
        <v>16</v>
      </c>
      <c r="D66" s="3" t="s">
        <v>440</v>
      </c>
      <c r="E66" s="3" t="s">
        <v>113</v>
      </c>
      <c r="F66" s="3" t="s">
        <v>441</v>
      </c>
      <c r="G66" s="3" t="s">
        <v>436</v>
      </c>
      <c r="H66" s="3" t="s">
        <v>442</v>
      </c>
      <c r="I66" s="3" t="s">
        <v>39</v>
      </c>
      <c r="J66" s="3" t="s">
        <v>40</v>
      </c>
      <c r="K66" s="3" t="s">
        <v>406</v>
      </c>
      <c r="L66" s="3" t="s">
        <v>4</v>
      </c>
      <c r="M66" s="3" t="s">
        <v>407</v>
      </c>
    </row>
    <row r="67" customFormat="false" ht="23.85" hidden="false" customHeight="false" outlineLevel="0" collapsed="false">
      <c r="A67" s="10" t="s">
        <v>443</v>
      </c>
      <c r="B67" s="5" t="s">
        <v>444</v>
      </c>
      <c r="C67" s="5" t="s">
        <v>16</v>
      </c>
      <c r="D67" s="5" t="s">
        <v>445</v>
      </c>
      <c r="E67" s="5" t="s">
        <v>72</v>
      </c>
      <c r="F67" s="5" t="s">
        <v>446</v>
      </c>
      <c r="G67" s="5" t="s">
        <v>100</v>
      </c>
      <c r="H67" s="5" t="s">
        <v>447</v>
      </c>
      <c r="I67" s="5" t="s">
        <v>39</v>
      </c>
      <c r="J67" s="5" t="s">
        <v>40</v>
      </c>
      <c r="K67" s="5" t="s">
        <v>406</v>
      </c>
      <c r="L67" s="5" t="s">
        <v>4</v>
      </c>
      <c r="M67" s="5" t="s">
        <v>407</v>
      </c>
    </row>
  </sheetData>
  <autoFilter ref="A1:M67"/>
  <dataValidations count="1">
    <dataValidation allowBlank="false" errorStyle="stop" operator="between" showDropDown="false" showErrorMessage="false" showInputMessage="false" sqref="L2:L67" type="list">
      <formula1>"Automated,In progress,Manual only,Blocked,Not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8.35" hidden="false" customHeight="false" outlineLevel="0" collapsed="false">
      <c r="A1" s="2" t="s">
        <v>448</v>
      </c>
      <c r="B1" s="2" t="s">
        <v>1</v>
      </c>
      <c r="C1" s="2" t="s">
        <v>21</v>
      </c>
      <c r="D1" s="2" t="s">
        <v>27</v>
      </c>
      <c r="E1" s="2" t="s">
        <v>449</v>
      </c>
      <c r="F1" s="2" t="s">
        <v>450</v>
      </c>
    </row>
    <row r="2" customFormat="false" ht="15" hidden="false" customHeight="false" outlineLevel="0" collapsed="false">
      <c r="A2" s="3" t="s">
        <v>451</v>
      </c>
      <c r="B2" s="3" t="s">
        <v>6</v>
      </c>
      <c r="C2" s="3" t="s">
        <v>452</v>
      </c>
      <c r="D2" s="3" t="s">
        <v>76</v>
      </c>
      <c r="E2" s="3" t="s">
        <v>453</v>
      </c>
      <c r="F2" s="3" t="s">
        <v>56</v>
      </c>
    </row>
    <row r="3" customFormat="false" ht="15" hidden="false" customHeight="false" outlineLevel="0" collapsed="false">
      <c r="A3" s="5" t="s">
        <v>454</v>
      </c>
      <c r="B3" s="5" t="s">
        <v>6</v>
      </c>
      <c r="C3" s="5" t="s">
        <v>455</v>
      </c>
      <c r="D3" s="5" t="s">
        <v>49</v>
      </c>
      <c r="E3" s="5" t="s">
        <v>453</v>
      </c>
      <c r="F3" s="5" t="s">
        <v>62</v>
      </c>
    </row>
    <row r="4" customFormat="false" ht="15" hidden="false" customHeight="false" outlineLevel="0" collapsed="false">
      <c r="A4" s="3" t="s">
        <v>456</v>
      </c>
      <c r="B4" s="3" t="s">
        <v>6</v>
      </c>
      <c r="C4" s="3" t="s">
        <v>457</v>
      </c>
      <c r="D4" s="3" t="s">
        <v>76</v>
      </c>
      <c r="E4" s="3" t="s">
        <v>458</v>
      </c>
      <c r="F4" s="3" t="s">
        <v>459</v>
      </c>
    </row>
    <row r="5" customFormat="false" ht="15" hidden="false" customHeight="false" outlineLevel="0" collapsed="false">
      <c r="A5" s="5" t="s">
        <v>460</v>
      </c>
      <c r="B5" s="5" t="s">
        <v>6</v>
      </c>
      <c r="C5" s="5" t="s">
        <v>461</v>
      </c>
      <c r="D5" s="5" t="s">
        <v>76</v>
      </c>
      <c r="E5" s="5" t="s">
        <v>458</v>
      </c>
      <c r="F5" s="5" t="s">
        <v>459</v>
      </c>
    </row>
    <row r="6" customFormat="false" ht="15" hidden="false" customHeight="false" outlineLevel="0" collapsed="false">
      <c r="A6" s="3" t="s">
        <v>462</v>
      </c>
      <c r="B6" s="3" t="s">
        <v>6</v>
      </c>
      <c r="C6" s="3" t="s">
        <v>463</v>
      </c>
      <c r="D6" s="3" t="s">
        <v>49</v>
      </c>
      <c r="E6" s="3" t="s">
        <v>458</v>
      </c>
      <c r="F6" s="3" t="s">
        <v>459</v>
      </c>
    </row>
    <row r="7" customFormat="false" ht="15" hidden="false" customHeight="false" outlineLevel="0" collapsed="false">
      <c r="A7" s="5" t="s">
        <v>71</v>
      </c>
      <c r="B7" s="5" t="s">
        <v>6</v>
      </c>
      <c r="C7" s="5" t="s">
        <v>464</v>
      </c>
      <c r="D7" s="5" t="s">
        <v>76</v>
      </c>
      <c r="E7" s="5" t="s">
        <v>458</v>
      </c>
      <c r="F7" s="5" t="s">
        <v>69</v>
      </c>
    </row>
    <row r="8" customFormat="false" ht="15" hidden="false" customHeight="false" outlineLevel="0" collapsed="false">
      <c r="A8" s="3" t="s">
        <v>465</v>
      </c>
      <c r="B8" s="3" t="s">
        <v>8</v>
      </c>
      <c r="C8" s="3" t="s">
        <v>466</v>
      </c>
      <c r="D8" s="3" t="s">
        <v>49</v>
      </c>
      <c r="E8" s="3" t="s">
        <v>453</v>
      </c>
      <c r="F8" s="3" t="s">
        <v>140</v>
      </c>
    </row>
    <row r="9" customFormat="false" ht="15" hidden="false" customHeight="false" outlineLevel="0" collapsed="false">
      <c r="A9" s="5" t="s">
        <v>467</v>
      </c>
      <c r="B9" s="5" t="s">
        <v>468</v>
      </c>
      <c r="C9" s="5" t="s">
        <v>469</v>
      </c>
      <c r="D9" s="5" t="s">
        <v>49</v>
      </c>
      <c r="E9" s="5" t="s">
        <v>453</v>
      </c>
      <c r="F9" s="5" t="s">
        <v>196</v>
      </c>
    </row>
    <row r="10" customFormat="false" ht="15" hidden="false" customHeight="false" outlineLevel="0" collapsed="false">
      <c r="A10" s="3" t="s">
        <v>148</v>
      </c>
      <c r="B10" s="3" t="s">
        <v>8</v>
      </c>
      <c r="C10" s="3" t="s">
        <v>470</v>
      </c>
      <c r="D10" s="3" t="s">
        <v>76</v>
      </c>
      <c r="E10" s="3" t="s">
        <v>458</v>
      </c>
      <c r="F10" s="3" t="s">
        <v>146</v>
      </c>
    </row>
    <row r="11" customFormat="false" ht="15" hidden="false" customHeight="false" outlineLevel="0" collapsed="false">
      <c r="A11" s="5" t="s">
        <v>154</v>
      </c>
      <c r="B11" s="5" t="s">
        <v>8</v>
      </c>
      <c r="C11" s="5" t="s">
        <v>471</v>
      </c>
      <c r="D11" s="5" t="s">
        <v>108</v>
      </c>
      <c r="E11" s="5" t="s">
        <v>458</v>
      </c>
      <c r="F11" s="5" t="s">
        <v>152</v>
      </c>
    </row>
    <row r="12" customFormat="false" ht="15" hidden="false" customHeight="false" outlineLevel="0" collapsed="false">
      <c r="A12" s="3" t="s">
        <v>472</v>
      </c>
      <c r="B12" s="3" t="s">
        <v>8</v>
      </c>
      <c r="C12" s="3" t="s">
        <v>473</v>
      </c>
      <c r="D12" s="3" t="s">
        <v>76</v>
      </c>
      <c r="E12" s="3" t="s">
        <v>458</v>
      </c>
      <c r="F12" s="3" t="s">
        <v>459</v>
      </c>
    </row>
    <row r="13" customFormat="false" ht="15" hidden="false" customHeight="false" outlineLevel="0" collapsed="false">
      <c r="A13" s="5" t="s">
        <v>474</v>
      </c>
      <c r="B13" s="5" t="s">
        <v>8</v>
      </c>
      <c r="C13" s="5" t="s">
        <v>475</v>
      </c>
      <c r="D13" s="5" t="s">
        <v>76</v>
      </c>
      <c r="E13" s="5" t="s">
        <v>458</v>
      </c>
      <c r="F13" s="5" t="s">
        <v>459</v>
      </c>
    </row>
    <row r="14" customFormat="false" ht="15" hidden="false" customHeight="false" outlineLevel="0" collapsed="false">
      <c r="A14" s="3" t="s">
        <v>476</v>
      </c>
      <c r="B14" s="3" t="s">
        <v>477</v>
      </c>
      <c r="C14" s="3" t="s">
        <v>478</v>
      </c>
      <c r="D14" s="3" t="s">
        <v>76</v>
      </c>
      <c r="E14" s="3" t="s">
        <v>458</v>
      </c>
      <c r="F14" s="3" t="s">
        <v>158</v>
      </c>
    </row>
    <row r="15" customFormat="false" ht="15" hidden="false" customHeight="false" outlineLevel="0" collapsed="false">
      <c r="A15" s="5" t="s">
        <v>479</v>
      </c>
      <c r="B15" s="5" t="s">
        <v>477</v>
      </c>
      <c r="C15" s="5" t="s">
        <v>480</v>
      </c>
      <c r="D15" s="5" t="s">
        <v>76</v>
      </c>
      <c r="E15" s="5" t="s">
        <v>458</v>
      </c>
      <c r="F15" s="5" t="s">
        <v>459</v>
      </c>
    </row>
    <row r="16" customFormat="false" ht="15" hidden="false" customHeight="false" outlineLevel="0" collapsed="false">
      <c r="A16" s="3" t="s">
        <v>173</v>
      </c>
      <c r="B16" s="3" t="s">
        <v>477</v>
      </c>
      <c r="C16" s="3" t="s">
        <v>481</v>
      </c>
      <c r="D16" s="3" t="s">
        <v>108</v>
      </c>
      <c r="E16" s="3" t="s">
        <v>458</v>
      </c>
      <c r="F16" s="3" t="s">
        <v>171</v>
      </c>
    </row>
    <row r="17" customFormat="false" ht="15" hidden="false" customHeight="false" outlineLevel="0" collapsed="false">
      <c r="A17" s="5" t="s">
        <v>167</v>
      </c>
      <c r="B17" s="5" t="s">
        <v>477</v>
      </c>
      <c r="C17" s="5" t="s">
        <v>482</v>
      </c>
      <c r="D17" s="5" t="s">
        <v>76</v>
      </c>
      <c r="E17" s="5" t="s">
        <v>458</v>
      </c>
      <c r="F17" s="5" t="s">
        <v>165</v>
      </c>
    </row>
    <row r="18" customFormat="false" ht="15" hidden="false" customHeight="false" outlineLevel="0" collapsed="false">
      <c r="A18" s="3" t="s">
        <v>483</v>
      </c>
      <c r="B18" s="3" t="s">
        <v>484</v>
      </c>
      <c r="C18" s="3" t="s">
        <v>485</v>
      </c>
      <c r="D18" s="3" t="s">
        <v>76</v>
      </c>
      <c r="E18" s="3" t="s">
        <v>458</v>
      </c>
      <c r="F18" s="3" t="s">
        <v>177</v>
      </c>
    </row>
    <row r="19" customFormat="false" ht="15" hidden="false" customHeight="false" outlineLevel="0" collapsed="false">
      <c r="A19" s="5" t="s">
        <v>486</v>
      </c>
      <c r="B19" s="5" t="s">
        <v>484</v>
      </c>
      <c r="C19" s="5" t="s">
        <v>487</v>
      </c>
      <c r="D19" s="5" t="s">
        <v>108</v>
      </c>
      <c r="E19" s="5" t="s">
        <v>458</v>
      </c>
      <c r="F19" s="5" t="s">
        <v>183</v>
      </c>
    </row>
    <row r="20" customFormat="false" ht="15" hidden="false" customHeight="false" outlineLevel="0" collapsed="false">
      <c r="A20" s="3" t="s">
        <v>488</v>
      </c>
      <c r="B20" s="3" t="s">
        <v>484</v>
      </c>
      <c r="C20" s="3" t="s">
        <v>489</v>
      </c>
      <c r="D20" s="3" t="s">
        <v>76</v>
      </c>
      <c r="E20" s="3" t="s">
        <v>458</v>
      </c>
      <c r="F20" s="3" t="s">
        <v>459</v>
      </c>
    </row>
    <row r="21" customFormat="false" ht="15" hidden="false" customHeight="false" outlineLevel="0" collapsed="false">
      <c r="A21" s="5" t="s">
        <v>221</v>
      </c>
      <c r="B21" s="5" t="s">
        <v>490</v>
      </c>
      <c r="C21" s="5" t="s">
        <v>491</v>
      </c>
      <c r="D21" s="5" t="s">
        <v>49</v>
      </c>
      <c r="E21" s="5" t="s">
        <v>453</v>
      </c>
      <c r="F21" s="5" t="s">
        <v>219</v>
      </c>
    </row>
    <row r="22" customFormat="false" ht="15" hidden="false" customHeight="false" outlineLevel="0" collapsed="false">
      <c r="A22" s="3" t="s">
        <v>492</v>
      </c>
      <c r="B22" s="3" t="s">
        <v>11</v>
      </c>
      <c r="C22" s="3" t="s">
        <v>493</v>
      </c>
      <c r="D22" s="3" t="s">
        <v>49</v>
      </c>
      <c r="E22" s="3" t="s">
        <v>453</v>
      </c>
      <c r="F22" s="3" t="s">
        <v>248</v>
      </c>
    </row>
    <row r="23" customFormat="false" ht="15" hidden="false" customHeight="false" outlineLevel="0" collapsed="false">
      <c r="A23" s="5" t="s">
        <v>494</v>
      </c>
      <c r="B23" s="5" t="s">
        <v>11</v>
      </c>
      <c r="C23" s="5" t="s">
        <v>495</v>
      </c>
      <c r="D23" s="5" t="s">
        <v>49</v>
      </c>
      <c r="E23" s="5" t="s">
        <v>458</v>
      </c>
      <c r="F23" s="5" t="s">
        <v>231</v>
      </c>
    </row>
    <row r="24" customFormat="false" ht="15" hidden="false" customHeight="false" outlineLevel="0" collapsed="false">
      <c r="A24" s="3" t="s">
        <v>496</v>
      </c>
      <c r="B24" s="3" t="s">
        <v>11</v>
      </c>
      <c r="C24" s="3" t="s">
        <v>497</v>
      </c>
      <c r="D24" s="3" t="s">
        <v>49</v>
      </c>
      <c r="E24" s="3" t="s">
        <v>458</v>
      </c>
      <c r="F24" s="3" t="s">
        <v>237</v>
      </c>
    </row>
    <row r="25" customFormat="false" ht="15" hidden="false" customHeight="false" outlineLevel="0" collapsed="false">
      <c r="A25" s="5" t="s">
        <v>498</v>
      </c>
      <c r="B25" s="5" t="s">
        <v>11</v>
      </c>
      <c r="C25" s="5" t="s">
        <v>499</v>
      </c>
      <c r="D25" s="5" t="s">
        <v>49</v>
      </c>
      <c r="E25" s="5" t="s">
        <v>458</v>
      </c>
      <c r="F25" s="5" t="s">
        <v>248</v>
      </c>
    </row>
    <row r="26" customFormat="false" ht="15" hidden="false" customHeight="false" outlineLevel="0" collapsed="false">
      <c r="A26" s="3" t="s">
        <v>500</v>
      </c>
      <c r="B26" s="3" t="s">
        <v>11</v>
      </c>
      <c r="C26" s="3" t="s">
        <v>501</v>
      </c>
      <c r="D26" s="3" t="s">
        <v>76</v>
      </c>
      <c r="E26" s="3" t="s">
        <v>458</v>
      </c>
      <c r="F26" s="3" t="s">
        <v>459</v>
      </c>
    </row>
    <row r="27" customFormat="false" ht="15" hidden="false" customHeight="false" outlineLevel="0" collapsed="false">
      <c r="A27" s="5" t="s">
        <v>502</v>
      </c>
      <c r="B27" s="5" t="s">
        <v>503</v>
      </c>
      <c r="C27" s="5" t="s">
        <v>504</v>
      </c>
      <c r="D27" s="5" t="s">
        <v>49</v>
      </c>
      <c r="E27" s="5" t="s">
        <v>453</v>
      </c>
      <c r="F27" s="5" t="s">
        <v>280</v>
      </c>
    </row>
    <row r="28" customFormat="false" ht="15" hidden="false" customHeight="false" outlineLevel="0" collapsed="false">
      <c r="A28" s="3" t="s">
        <v>505</v>
      </c>
      <c r="B28" s="3" t="s">
        <v>503</v>
      </c>
      <c r="C28" s="3" t="s">
        <v>506</v>
      </c>
      <c r="D28" s="3" t="s">
        <v>49</v>
      </c>
      <c r="E28" s="3" t="s">
        <v>453</v>
      </c>
      <c r="F28" s="3" t="s">
        <v>273</v>
      </c>
    </row>
    <row r="29" customFormat="false" ht="15" hidden="false" customHeight="false" outlineLevel="0" collapsed="false">
      <c r="A29" s="5" t="s">
        <v>507</v>
      </c>
      <c r="B29" s="5" t="s">
        <v>503</v>
      </c>
      <c r="C29" s="5" t="s">
        <v>508</v>
      </c>
      <c r="D29" s="5" t="s">
        <v>76</v>
      </c>
      <c r="E29" s="5" t="s">
        <v>458</v>
      </c>
      <c r="F29" s="5" t="s">
        <v>286</v>
      </c>
    </row>
    <row r="30" customFormat="false" ht="15" hidden="false" customHeight="false" outlineLevel="0" collapsed="false">
      <c r="A30" s="3" t="s">
        <v>509</v>
      </c>
      <c r="B30" s="3" t="s">
        <v>503</v>
      </c>
      <c r="C30" s="3" t="s">
        <v>510</v>
      </c>
      <c r="D30" s="3" t="s">
        <v>76</v>
      </c>
      <c r="E30" s="3" t="s">
        <v>458</v>
      </c>
      <c r="F30" s="3" t="s">
        <v>459</v>
      </c>
    </row>
    <row r="31" customFormat="false" ht="15" hidden="false" customHeight="false" outlineLevel="0" collapsed="false">
      <c r="A31" s="5" t="s">
        <v>511</v>
      </c>
      <c r="B31" s="5" t="s">
        <v>503</v>
      </c>
      <c r="C31" s="5" t="s">
        <v>512</v>
      </c>
      <c r="D31" s="5" t="s">
        <v>49</v>
      </c>
      <c r="E31" s="5" t="s">
        <v>458</v>
      </c>
      <c r="F31" s="5" t="s">
        <v>459</v>
      </c>
    </row>
    <row r="32" customFormat="false" ht="15" hidden="false" customHeight="false" outlineLevel="0" collapsed="false">
      <c r="A32" s="3" t="s">
        <v>513</v>
      </c>
      <c r="B32" s="3" t="s">
        <v>503</v>
      </c>
      <c r="C32" s="3" t="s">
        <v>514</v>
      </c>
      <c r="D32" s="3" t="s">
        <v>49</v>
      </c>
      <c r="E32" s="3" t="s">
        <v>458</v>
      </c>
      <c r="F32" s="3" t="s">
        <v>459</v>
      </c>
    </row>
    <row r="33" customFormat="false" ht="15" hidden="false" customHeight="false" outlineLevel="0" collapsed="false">
      <c r="A33" s="5" t="s">
        <v>515</v>
      </c>
      <c r="B33" s="5" t="s">
        <v>516</v>
      </c>
      <c r="C33" s="5" t="s">
        <v>517</v>
      </c>
      <c r="D33" s="5" t="s">
        <v>49</v>
      </c>
      <c r="E33" s="5" t="s">
        <v>453</v>
      </c>
      <c r="F33" s="5" t="s">
        <v>518</v>
      </c>
    </row>
    <row r="34" customFormat="false" ht="15" hidden="false" customHeight="false" outlineLevel="0" collapsed="false">
      <c r="A34" s="3" t="s">
        <v>519</v>
      </c>
      <c r="B34" s="3" t="s">
        <v>516</v>
      </c>
      <c r="C34" s="3" t="s">
        <v>520</v>
      </c>
      <c r="D34" s="3" t="s">
        <v>49</v>
      </c>
      <c r="E34" s="3" t="s">
        <v>453</v>
      </c>
      <c r="F34" s="3" t="s">
        <v>311</v>
      </c>
    </row>
    <row r="35" customFormat="false" ht="15" hidden="false" customHeight="false" outlineLevel="0" collapsed="false">
      <c r="A35" s="5" t="s">
        <v>521</v>
      </c>
      <c r="B35" s="5" t="s">
        <v>516</v>
      </c>
      <c r="C35" s="5" t="s">
        <v>522</v>
      </c>
      <c r="D35" s="5" t="s">
        <v>76</v>
      </c>
      <c r="E35" s="5" t="s">
        <v>458</v>
      </c>
      <c r="F35" s="5" t="s">
        <v>323</v>
      </c>
    </row>
    <row r="36" customFormat="false" ht="15" hidden="false" customHeight="false" outlineLevel="0" collapsed="false">
      <c r="A36" s="3" t="s">
        <v>523</v>
      </c>
      <c r="B36" s="3" t="s">
        <v>516</v>
      </c>
      <c r="C36" s="3" t="s">
        <v>524</v>
      </c>
      <c r="D36" s="3" t="s">
        <v>76</v>
      </c>
      <c r="E36" s="3" t="s">
        <v>458</v>
      </c>
      <c r="F36" s="3" t="s">
        <v>459</v>
      </c>
    </row>
    <row r="37" customFormat="false" ht="15" hidden="false" customHeight="false" outlineLevel="0" collapsed="false">
      <c r="A37" s="5" t="s">
        <v>525</v>
      </c>
      <c r="B37" s="5" t="s">
        <v>516</v>
      </c>
      <c r="C37" s="5" t="s">
        <v>526</v>
      </c>
      <c r="D37" s="5" t="s">
        <v>49</v>
      </c>
      <c r="E37" s="5" t="s">
        <v>458</v>
      </c>
      <c r="F37" s="5" t="s">
        <v>459</v>
      </c>
    </row>
    <row r="38" customFormat="false" ht="15" hidden="false" customHeight="false" outlineLevel="0" collapsed="false">
      <c r="A38" s="3" t="s">
        <v>527</v>
      </c>
      <c r="B38" s="3" t="s">
        <v>516</v>
      </c>
      <c r="C38" s="3" t="s">
        <v>528</v>
      </c>
      <c r="D38" s="3" t="s">
        <v>76</v>
      </c>
      <c r="E38" s="3" t="s">
        <v>458</v>
      </c>
      <c r="F38" s="3" t="s">
        <v>459</v>
      </c>
    </row>
    <row r="39" customFormat="false" ht="15" hidden="false" customHeight="false" outlineLevel="0" collapsed="false">
      <c r="A39" s="5" t="s">
        <v>529</v>
      </c>
      <c r="B39" s="5" t="s">
        <v>516</v>
      </c>
      <c r="C39" s="5" t="s">
        <v>530</v>
      </c>
      <c r="D39" s="5" t="s">
        <v>108</v>
      </c>
      <c r="E39" s="5" t="s">
        <v>458</v>
      </c>
      <c r="F39" s="5" t="s">
        <v>459</v>
      </c>
    </row>
    <row r="40" customFormat="false" ht="15" hidden="false" customHeight="false" outlineLevel="0" collapsed="false">
      <c r="A40" s="3" t="s">
        <v>531</v>
      </c>
      <c r="B40" s="3" t="s">
        <v>516</v>
      </c>
      <c r="C40" s="3" t="s">
        <v>532</v>
      </c>
      <c r="D40" s="3" t="s">
        <v>49</v>
      </c>
      <c r="E40" s="3" t="s">
        <v>458</v>
      </c>
      <c r="F40" s="3" t="s">
        <v>459</v>
      </c>
    </row>
    <row r="41" customFormat="false" ht="15" hidden="false" customHeight="false" outlineLevel="0" collapsed="false">
      <c r="A41" s="5" t="s">
        <v>533</v>
      </c>
      <c r="B41" s="5" t="s">
        <v>534</v>
      </c>
      <c r="C41" s="5" t="s">
        <v>535</v>
      </c>
      <c r="D41" s="5" t="s">
        <v>49</v>
      </c>
      <c r="E41" s="5" t="s">
        <v>453</v>
      </c>
      <c r="F41" s="5" t="s">
        <v>348</v>
      </c>
    </row>
    <row r="42" customFormat="false" ht="15" hidden="false" customHeight="false" outlineLevel="0" collapsed="false">
      <c r="A42" s="3" t="s">
        <v>536</v>
      </c>
      <c r="B42" s="3" t="s">
        <v>534</v>
      </c>
      <c r="C42" s="3" t="s">
        <v>537</v>
      </c>
      <c r="D42" s="3" t="s">
        <v>49</v>
      </c>
      <c r="E42" s="3" t="s">
        <v>458</v>
      </c>
      <c r="F42" s="3" t="s">
        <v>342</v>
      </c>
    </row>
    <row r="43" customFormat="false" ht="15" hidden="false" customHeight="false" outlineLevel="0" collapsed="false">
      <c r="A43" s="5" t="s">
        <v>538</v>
      </c>
      <c r="B43" s="5" t="s">
        <v>534</v>
      </c>
      <c r="C43" s="5" t="s">
        <v>539</v>
      </c>
      <c r="D43" s="5" t="s">
        <v>76</v>
      </c>
      <c r="E43" s="5" t="s">
        <v>458</v>
      </c>
      <c r="F43" s="5" t="s">
        <v>459</v>
      </c>
    </row>
    <row r="44" customFormat="false" ht="15" hidden="false" customHeight="false" outlineLevel="0" collapsed="false">
      <c r="A44" s="3" t="s">
        <v>540</v>
      </c>
      <c r="B44" s="3" t="s">
        <v>534</v>
      </c>
      <c r="C44" s="3" t="s">
        <v>541</v>
      </c>
      <c r="D44" s="3" t="s">
        <v>76</v>
      </c>
      <c r="E44" s="3" t="s">
        <v>458</v>
      </c>
      <c r="F44" s="3" t="s">
        <v>459</v>
      </c>
    </row>
    <row r="45" customFormat="false" ht="15" hidden="false" customHeight="false" outlineLevel="0" collapsed="false">
      <c r="A45" s="5" t="s">
        <v>542</v>
      </c>
      <c r="B45" s="5" t="s">
        <v>543</v>
      </c>
      <c r="C45" s="5" t="s">
        <v>544</v>
      </c>
      <c r="D45" s="5" t="s">
        <v>49</v>
      </c>
      <c r="E45" s="5" t="s">
        <v>453</v>
      </c>
      <c r="F45" s="5" t="s">
        <v>375</v>
      </c>
    </row>
    <row r="46" customFormat="false" ht="15" hidden="false" customHeight="false" outlineLevel="0" collapsed="false">
      <c r="A46" s="3" t="s">
        <v>545</v>
      </c>
      <c r="B46" s="3" t="s">
        <v>546</v>
      </c>
      <c r="C46" s="3" t="s">
        <v>547</v>
      </c>
      <c r="D46" s="3" t="s">
        <v>76</v>
      </c>
      <c r="E46" s="3" t="s">
        <v>453</v>
      </c>
      <c r="F46" s="3" t="s">
        <v>356</v>
      </c>
    </row>
    <row r="47" customFormat="false" ht="15" hidden="false" customHeight="false" outlineLevel="0" collapsed="false">
      <c r="A47" s="5" t="s">
        <v>548</v>
      </c>
      <c r="B47" s="5" t="s">
        <v>546</v>
      </c>
      <c r="C47" s="5" t="s">
        <v>549</v>
      </c>
      <c r="D47" s="5" t="s">
        <v>39</v>
      </c>
      <c r="E47" s="5" t="s">
        <v>458</v>
      </c>
      <c r="F47" s="5" t="s">
        <v>438</v>
      </c>
    </row>
    <row r="48" customFormat="false" ht="15" hidden="false" customHeight="false" outlineLevel="0" collapsed="false">
      <c r="A48" s="3" t="s">
        <v>550</v>
      </c>
      <c r="B48" s="3" t="s">
        <v>546</v>
      </c>
      <c r="C48" s="3" t="s">
        <v>551</v>
      </c>
      <c r="D48" s="3" t="s">
        <v>49</v>
      </c>
      <c r="E48" s="3" t="s">
        <v>458</v>
      </c>
      <c r="F48" s="3" t="s">
        <v>459</v>
      </c>
    </row>
    <row r="49" customFormat="false" ht="15" hidden="false" customHeight="false" outlineLevel="0" collapsed="false">
      <c r="A49" s="5" t="s">
        <v>552</v>
      </c>
      <c r="B49" s="5" t="s">
        <v>546</v>
      </c>
      <c r="C49" s="5" t="s">
        <v>553</v>
      </c>
      <c r="D49" s="5" t="s">
        <v>49</v>
      </c>
      <c r="E49" s="5" t="s">
        <v>458</v>
      </c>
      <c r="F49" s="5" t="s">
        <v>382</v>
      </c>
    </row>
    <row r="50" customFormat="false" ht="15" hidden="false" customHeight="false" outlineLevel="0" collapsed="false">
      <c r="A50" s="3" t="s">
        <v>554</v>
      </c>
      <c r="B50" s="3" t="s">
        <v>555</v>
      </c>
      <c r="C50" s="3" t="s">
        <v>556</v>
      </c>
      <c r="D50" s="3" t="s">
        <v>76</v>
      </c>
      <c r="E50" s="3" t="s">
        <v>453</v>
      </c>
      <c r="F50" s="3" t="s">
        <v>389</v>
      </c>
    </row>
    <row r="51" customFormat="false" ht="15" hidden="false" customHeight="false" outlineLevel="0" collapsed="false">
      <c r="A51" s="5" t="s">
        <v>557</v>
      </c>
      <c r="B51" s="5" t="s">
        <v>558</v>
      </c>
      <c r="C51" s="5" t="s">
        <v>559</v>
      </c>
      <c r="D51" s="5" t="s">
        <v>39</v>
      </c>
      <c r="E51" s="5" t="s">
        <v>453</v>
      </c>
      <c r="F51" s="5" t="s">
        <v>560</v>
      </c>
    </row>
    <row r="52" customFormat="false" ht="15" hidden="false" customHeight="false" outlineLevel="0" collapsed="false">
      <c r="A52" s="3" t="s">
        <v>561</v>
      </c>
      <c r="B52" s="3" t="s">
        <v>558</v>
      </c>
      <c r="C52" s="3" t="s">
        <v>562</v>
      </c>
      <c r="D52" s="3" t="s">
        <v>49</v>
      </c>
      <c r="E52" s="3" t="s">
        <v>453</v>
      </c>
      <c r="F52" s="3" t="s">
        <v>426</v>
      </c>
    </row>
    <row r="53" customFormat="false" ht="15" hidden="false" customHeight="false" outlineLevel="0" collapsed="false">
      <c r="A53" s="5" t="s">
        <v>563</v>
      </c>
      <c r="B53" s="5" t="s">
        <v>558</v>
      </c>
      <c r="C53" s="5" t="s">
        <v>564</v>
      </c>
      <c r="D53" s="5" t="s">
        <v>39</v>
      </c>
      <c r="E53" s="5" t="s">
        <v>458</v>
      </c>
      <c r="F53" s="5" t="s">
        <v>565</v>
      </c>
    </row>
    <row r="54" customFormat="false" ht="15" hidden="false" customHeight="false" outlineLevel="0" collapsed="false">
      <c r="A54" s="3" t="s">
        <v>566</v>
      </c>
      <c r="B54" s="3" t="s">
        <v>558</v>
      </c>
      <c r="C54" s="3" t="s">
        <v>567</v>
      </c>
      <c r="D54" s="3" t="s">
        <v>76</v>
      </c>
      <c r="E54" s="3" t="s">
        <v>458</v>
      </c>
      <c r="F54" s="3" t="s">
        <v>568</v>
      </c>
    </row>
    <row r="55" customFormat="false" ht="15" hidden="false" customHeight="false" outlineLevel="0" collapsed="false">
      <c r="A55" s="5" t="s">
        <v>569</v>
      </c>
      <c r="B55" s="5" t="s">
        <v>570</v>
      </c>
      <c r="C55" s="5" t="s">
        <v>571</v>
      </c>
      <c r="D55" s="5" t="s">
        <v>76</v>
      </c>
      <c r="E55" s="5" t="s">
        <v>364</v>
      </c>
      <c r="F55" s="5" t="s">
        <v>362</v>
      </c>
    </row>
    <row r="56" customFormat="false" ht="15" hidden="false" customHeight="false" outlineLevel="0" collapsed="false">
      <c r="A56" s="3" t="s">
        <v>572</v>
      </c>
      <c r="B56" s="3" t="s">
        <v>6</v>
      </c>
      <c r="C56" s="3" t="s">
        <v>573</v>
      </c>
      <c r="D56" s="3" t="s">
        <v>76</v>
      </c>
      <c r="E56" s="3" t="s">
        <v>364</v>
      </c>
      <c r="F56" s="3" t="s">
        <v>574</v>
      </c>
    </row>
    <row r="57" customFormat="false" ht="23.85" hidden="false" customHeight="false" outlineLevel="0" collapsed="false">
      <c r="A57" s="5" t="s">
        <v>575</v>
      </c>
      <c r="B57" s="5" t="s">
        <v>6</v>
      </c>
      <c r="C57" s="5" t="s">
        <v>576</v>
      </c>
      <c r="D57" s="5" t="s">
        <v>108</v>
      </c>
      <c r="E57" s="5" t="s">
        <v>364</v>
      </c>
      <c r="F57" s="5" t="s">
        <v>574</v>
      </c>
    </row>
  </sheetData>
  <autoFilter ref="A1:F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2026-10-20T16:09:50Z</dcterms:created>
  <dc:creator>openpyxl</dc:creator>
  <dc:description/>
  <dc:language>en-US</dc:language>
  <cp:lastModifiedBy/>
  <dcterms:modified xsi:type="dcterms:W3CDTF">2026-10-20T16:09:50Z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